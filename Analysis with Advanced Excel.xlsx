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ha\OneDrive\Desktop\"/>
    </mc:Choice>
  </mc:AlternateContent>
  <xr:revisionPtr revIDLastSave="0" documentId="8_{FA0FC4F6-20BA-451A-AB17-85E66D550E0B}" xr6:coauthVersionLast="47" xr6:coauthVersionMax="47" xr10:uidLastSave="{00000000-0000-0000-0000-000000000000}"/>
  <bookViews>
    <workbookView xWindow="-108" yWindow="-108" windowWidth="23256" windowHeight="12456" firstSheet="4" activeTab="6" xr2:uid="{94CA1849-6B0F-47DA-A251-06DA6CA9F8D1}"/>
  </bookViews>
  <sheets>
    <sheet name="Histogram" sheetId="1" r:id="rId1"/>
    <sheet name="Moving Average" sheetId="5" r:id="rId2"/>
    <sheet name="What-if Analysis" sheetId="2" r:id="rId3"/>
    <sheet name="Descriptive Statistics" sheetId="3" r:id="rId4"/>
    <sheet name="Annova" sheetId="7" r:id="rId5"/>
    <sheet name="Covariance" sheetId="8" r:id="rId6"/>
    <sheet name="Regression" sheetId="10" r:id="rId7"/>
    <sheet name="Correlation" sheetId="9" r:id="rId8"/>
    <sheet name="Customer Histogram" sheetId="4" r:id="rId9"/>
    <sheet name="Hypothesis testing" sheetId="6" r:id="rId10"/>
  </sheets>
  <definedNames>
    <definedName name="solver_eng" localSheetId="3" hidden="1">1</definedName>
    <definedName name="solver_eng" localSheetId="2" hidden="1">1</definedName>
    <definedName name="solver_neg" localSheetId="3" hidden="1">1</definedName>
    <definedName name="solver_neg" localSheetId="2" hidden="1">1</definedName>
    <definedName name="solver_num" localSheetId="3" hidden="1">0</definedName>
    <definedName name="solver_num" localSheetId="2" hidden="1">0</definedName>
    <definedName name="solver_opt" localSheetId="3" hidden="1">'Descriptive Statistics'!$F$13</definedName>
    <definedName name="solver_opt" localSheetId="2" hidden="1">'What-if Analysis'!$K$15</definedName>
    <definedName name="solver_typ" localSheetId="3" hidden="1">1</definedName>
    <definedName name="solver_typ" localSheetId="2" hidden="1">1</definedName>
    <definedName name="solver_val" localSheetId="3" hidden="1">0</definedName>
    <definedName name="solver_val" localSheetId="2" hidden="1">0</definedName>
    <definedName name="solver_ver" localSheetId="3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8" l="1"/>
  <c r="F2" i="8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F3" i="2" l="1"/>
</calcChain>
</file>

<file path=xl/sharedStrings.xml><?xml version="1.0" encoding="utf-8"?>
<sst xmlns="http://schemas.openxmlformats.org/spreadsheetml/2006/main" count="274" uniqueCount="177">
  <si>
    <t>How many number of calls were received in certain time intervals</t>
  </si>
  <si>
    <t>Call ID</t>
  </si>
  <si>
    <t>Date</t>
  </si>
  <si>
    <t>Name</t>
  </si>
  <si>
    <t>Call Duration (minutes)</t>
  </si>
  <si>
    <t>Resolved status</t>
  </si>
  <si>
    <t>Harry</t>
  </si>
  <si>
    <t>Bean</t>
  </si>
  <si>
    <t>Chris</t>
  </si>
  <si>
    <t>Tommy</t>
  </si>
  <si>
    <t>Jane</t>
  </si>
  <si>
    <t>Phillips</t>
  </si>
  <si>
    <t>Smith</t>
  </si>
  <si>
    <t>Davis</t>
  </si>
  <si>
    <t>Head</t>
  </si>
  <si>
    <t>Max</t>
  </si>
  <si>
    <t>Adam</t>
  </si>
  <si>
    <t>Nikk</t>
  </si>
  <si>
    <t>Finn</t>
  </si>
  <si>
    <t>Yes</t>
  </si>
  <si>
    <t>0-3</t>
  </si>
  <si>
    <t>4-7</t>
  </si>
  <si>
    <t>8-11</t>
  </si>
  <si>
    <t>12-15</t>
  </si>
  <si>
    <t>Bin</t>
  </si>
  <si>
    <t>Max of Each Bin</t>
  </si>
  <si>
    <t>&gt;15</t>
  </si>
  <si>
    <t>More</t>
  </si>
  <si>
    <t>Frequency</t>
  </si>
  <si>
    <t>Cumulative %</t>
  </si>
  <si>
    <t>Sales Figure</t>
  </si>
  <si>
    <t>No. of Units sold</t>
  </si>
  <si>
    <t>SP per unit</t>
  </si>
  <si>
    <t xml:space="preserve">Sales </t>
  </si>
  <si>
    <t>Variable Cost</t>
  </si>
  <si>
    <t>Fixed Cost</t>
  </si>
  <si>
    <t>Net Profit</t>
  </si>
  <si>
    <t>Score Obtained</t>
  </si>
  <si>
    <t xml:space="preserve">Student A </t>
  </si>
  <si>
    <t>Student B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</si>
  <si>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</si>
  <si>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</si>
  <si>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</si>
  <si>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</si>
  <si>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</si>
  <si>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</si>
  <si>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</si>
  <si>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</si>
  <si>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</si>
  <si>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</si>
  <si>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</si>
  <si>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</si>
  <si>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</si>
  <si>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</si>
  <si>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</si>
  <si>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</si>
  <si>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</si>
  <si>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</si>
  <si>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</si>
  <si>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</si>
  <si>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</si>
  <si>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</si>
  <si>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</si>
  <si>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</si>
  <si>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</si>
  <si>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</si>
  <si>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</si>
  <si>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</si>
  <si>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</si>
  <si>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</si>
  <si>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</si>
  <si>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</si>
  <si>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</si>
  <si>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</si>
  <si>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</si>
  <si>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</si>
  <si>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Student A (Descriptive statistics)</t>
  </si>
  <si>
    <t>Student B (Descriptive statistics)</t>
  </si>
  <si>
    <t>Order ID</t>
  </si>
  <si>
    <t>Product Sold</t>
  </si>
  <si>
    <t>Age of Customer</t>
  </si>
  <si>
    <t>Customer Name</t>
  </si>
  <si>
    <t>Iphone 5</t>
  </si>
  <si>
    <t>Iphone 6</t>
  </si>
  <si>
    <t>Iphone 7</t>
  </si>
  <si>
    <t>Iphone 8</t>
  </si>
  <si>
    <t>Iphone 9</t>
  </si>
  <si>
    <t>Iphone 10</t>
  </si>
  <si>
    <t>Iphone 11</t>
  </si>
  <si>
    <t>Iphone 12</t>
  </si>
  <si>
    <t>Iphone 13</t>
  </si>
  <si>
    <t>Iphone 14</t>
  </si>
  <si>
    <t>Shahid</t>
  </si>
  <si>
    <t>Afridi</t>
  </si>
  <si>
    <t>Inaam</t>
  </si>
  <si>
    <t>Zubair</t>
  </si>
  <si>
    <t>Hasan</t>
  </si>
  <si>
    <t>Najib</t>
  </si>
  <si>
    <t>Ahmad</t>
  </si>
  <si>
    <t>Nasir</t>
  </si>
  <si>
    <t>Rauf</t>
  </si>
  <si>
    <t>Nazim</t>
  </si>
  <si>
    <t>30-35</t>
  </si>
  <si>
    <t>22</t>
  </si>
  <si>
    <t>&lt;20</t>
  </si>
  <si>
    <t>20-25</t>
  </si>
  <si>
    <t>25-30</t>
  </si>
  <si>
    <t>Dates</t>
  </si>
  <si>
    <t>Net Sales</t>
  </si>
  <si>
    <t>7 Days</t>
  </si>
  <si>
    <t>Hatchback</t>
  </si>
  <si>
    <t>SUVs</t>
  </si>
  <si>
    <t>t-Test: Two-Sample Assuming Unequal Variances</t>
  </si>
  <si>
    <t>Variance</t>
  </si>
  <si>
    <t>Hypothesized Mean Difference</t>
  </si>
  <si>
    <t>P(T&lt;=t) one-tail</t>
  </si>
  <si>
    <t>t Critical one-tail</t>
  </si>
  <si>
    <t>P(T&lt;=t) two-tail</t>
  </si>
  <si>
    <t>t Critical two-tail</t>
  </si>
  <si>
    <t>Test whether the mean pressure applied to the Driver's head during a crash test is equal for each category of vehicle (a=5%)</t>
  </si>
  <si>
    <t>So, as the results in both tests are under level of significance, now it can be said that hypothesis is accepted.</t>
  </si>
  <si>
    <t xml:space="preserve">Observations </t>
  </si>
  <si>
    <t>Pick up Truck</t>
  </si>
  <si>
    <t>Anova: Single Factor</t>
  </si>
  <si>
    <t>SUMMARY</t>
  </si>
  <si>
    <t>Groups</t>
  </si>
  <si>
    <t>Average</t>
  </si>
  <si>
    <t>Source of Variation</t>
  </si>
  <si>
    <t>F crit</t>
  </si>
  <si>
    <t>Between Groups</t>
  </si>
  <si>
    <t>Within Groups</t>
  </si>
  <si>
    <t>Salesman</t>
  </si>
  <si>
    <t>No. of customers</t>
  </si>
  <si>
    <t>Ashish</t>
  </si>
  <si>
    <t>Bravo</t>
  </si>
  <si>
    <t>Dishant</t>
  </si>
  <si>
    <t>Eshant</t>
  </si>
  <si>
    <t>Farhan</t>
  </si>
  <si>
    <t>Product Category</t>
  </si>
  <si>
    <t>No. of Product sold</t>
  </si>
  <si>
    <t>Marketing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</si>
  <si>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</si>
  <si>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</si>
  <si>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</si>
  <si>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</si>
  <si>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</si>
  <si>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</si>
  <si>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</si>
  <si>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</si>
  <si>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</si>
  <si>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</si>
  <si>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</si>
  <si>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</si>
  <si>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</si>
  <si>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</si>
  <si>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</si>
  <si>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</si>
  <si>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</si>
  <si>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</si>
  <si>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</si>
  <si>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</si>
  <si>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</si>
  <si>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Amount</t>
  </si>
  <si>
    <t>Correlation coefficient, 1=Perfect relationship, 0=no relationship</t>
  </si>
  <si>
    <t>Tells the accuracy, 15%</t>
  </si>
  <si>
    <t>% variation of independent variables that affect the dependent variables</t>
  </si>
  <si>
    <t>Is the estimate of S.D. of the error</t>
  </si>
  <si>
    <t>Correlation b/w Air conditioner sales Vs Temperature</t>
  </si>
  <si>
    <t>Temperature (degree celcius)</t>
  </si>
  <si>
    <t>Quantity</t>
  </si>
  <si>
    <t>Test Scores</t>
  </si>
  <si>
    <t>Before watching Video</t>
  </si>
  <si>
    <t>After watching video</t>
  </si>
  <si>
    <t>t-Test: Paired Two Sample for Means</t>
  </si>
  <si>
    <t>Pearson Correlation</t>
  </si>
  <si>
    <t>Covariance determines the relationship between two random variables and how they change together</t>
  </si>
  <si>
    <t>It indicates that how two or more variable fluctuate together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</si>
</sst>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$-409]#,##0.0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5" borderId="0" xfId="0" applyFill="1"/>
    <xf numFmtId="164" fontId="0" fillId="5" borderId="0" xfId="0" applyNumberFormat="1" applyFill="1"/>
    <xf numFmtId="0" fontId="4" fillId="2" borderId="3" xfId="0" applyFont="1" applyFill="1" applyBorder="1" applyAlignment="1">
      <alignment horizontal="center" vertical="center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5" fillId="0" borderId="2" xfId="0" applyFont="1" applyBorder="1" applyAlignment="1">
      <alignment horizontal="centerContinuous"/>
    </xf>
    <xf numFmtId="0" fontId="0" fillId="2" borderId="3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10" fontId="0" fillId="0" borderId="0" xfId="0" applyNumberFormat="1"/>
    <xf numFmtId="10" fontId="0" fillId="0" borderId="1" xfId="0" applyNumberFormat="1" applyBorder="1"/>
    <xf numFmtId="49" fontId="0" fillId="0" borderId="0" xfId="0" applyNumberForma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2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2" borderId="3" xfId="0" applyFill="1" applyBorder="1"/>
    <xf numFmtId="0" fontId="0" fillId="4" borderId="1" xfId="0" applyFill="1" applyBorder="1"/>
    <xf numFmtId="0" fontId="0" fillId="2" borderId="3" xfId="0" applyFill="1" applyBorder="1" applyAlignment="1">
      <alignment horizontal="center" vertical="center" wrapText="1"/>
    </xf>
    <xf numFmtId="165" fontId="0" fillId="0" borderId="0" xfId="0" applyNumberFormat="1"/>
    <xf numFmtId="0" fontId="0" fillId="10" borderId="3" xfId="0" applyFill="1" applyBorder="1"/>
    <xf numFmtId="0" fontId="0" fillId="10" borderId="4" xfId="0" applyFill="1" applyBorder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1" borderId="0" xfId="0" applyFill="1" applyAlignment="1">
      <alignment horizont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12" borderId="3" xfId="0" applyFill="1" applyBorder="1" applyAlignment="1">
      <alignment horizontal="center" vertical="center" wrapText="1"/>
    </xf>
    <xf numFmtId="0" fontId="0" fillId="9" borderId="0" xfId="0" applyFill="1" applyBorder="1" applyAlignment="1"/>
    <xf numFmtId="0" fontId="0" fillId="13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Histogram!$J$13:$J$17</c:f>
              <c:strCache>
                <c:ptCount val="5"/>
                <c:pt idx="0">
                  <c:v>15</c:v>
                </c:pt>
                <c:pt idx="1">
                  <c:v>7</c:v>
                </c:pt>
                <c:pt idx="2">
                  <c:v>11</c:v>
                </c:pt>
                <c:pt idx="3">
                  <c:v>3</c:v>
                </c:pt>
                <c:pt idx="4">
                  <c:v>More</c:v>
                </c:pt>
              </c:strCache>
            </c:strRef>
          </c:cat>
          <c:val>
            <c:numRef>
              <c:f>Histogram!$K$13:$K$17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33-4ABC-B65B-02A307E6C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8407584"/>
        <c:axId val="828407104"/>
      </c:barChart>
      <c:lineChart>
        <c:grouping val="standard"/>
        <c:varyColors val="0"/>
        <c:ser>
          <c:idx val="1"/>
          <c:order val="1"/>
          <c:tx>
            <c:v>Cumulative %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Histogram!$J$13:$J$17</c:f>
              <c:strCache>
                <c:ptCount val="5"/>
                <c:pt idx="0">
                  <c:v>15</c:v>
                </c:pt>
                <c:pt idx="1">
                  <c:v>7</c:v>
                </c:pt>
                <c:pt idx="2">
                  <c:v>11</c:v>
                </c:pt>
                <c:pt idx="3">
                  <c:v>3</c:v>
                </c:pt>
                <c:pt idx="4">
                  <c:v>More</c:v>
                </c:pt>
              </c:strCache>
            </c:strRef>
          </c:cat>
          <c:val>
            <c:numRef>
              <c:f>Histogram!$L$13:$L$17</c:f>
              <c:numCache>
                <c:formatCode>0.00%</c:formatCode>
                <c:ptCount val="5"/>
                <c:pt idx="0">
                  <c:v>0.38461538461538464</c:v>
                </c:pt>
                <c:pt idx="1">
                  <c:v>0.69230769230769229</c:v>
                </c:pt>
                <c:pt idx="2">
                  <c:v>0.92307692307692313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33-4ABC-B65B-02A307E6C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6169184"/>
        <c:axId val="822069264"/>
      </c:lineChart>
      <c:catAx>
        <c:axId val="828407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407104"/>
        <c:crosses val="autoZero"/>
        <c:auto val="1"/>
        <c:lblAlgn val="ctr"/>
        <c:lblOffset val="100"/>
        <c:noMultiLvlLbl val="0"/>
      </c:catAx>
      <c:valAx>
        <c:axId val="82840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407584"/>
        <c:crosses val="autoZero"/>
        <c:crossBetween val="between"/>
      </c:valAx>
      <c:valAx>
        <c:axId val="82206926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169184"/>
        <c:crosses val="max"/>
        <c:crossBetween val="between"/>
      </c:valAx>
      <c:catAx>
        <c:axId val="8561691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220692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Moving Average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'Moving Average'!$B$2:$B$24</c:f>
              <c:numCache>
                <c:formatCode>General</c:formatCode>
                <c:ptCount val="23"/>
                <c:pt idx="0">
                  <c:v>45965</c:v>
                </c:pt>
                <c:pt idx="1">
                  <c:v>65214</c:v>
                </c:pt>
                <c:pt idx="2">
                  <c:v>75325</c:v>
                </c:pt>
                <c:pt idx="3">
                  <c:v>35621</c:v>
                </c:pt>
                <c:pt idx="4">
                  <c:v>25874</c:v>
                </c:pt>
                <c:pt idx="5">
                  <c:v>13254</c:v>
                </c:pt>
                <c:pt idx="6">
                  <c:v>98745</c:v>
                </c:pt>
                <c:pt idx="7">
                  <c:v>32587</c:v>
                </c:pt>
                <c:pt idx="8">
                  <c:v>21558</c:v>
                </c:pt>
                <c:pt idx="9">
                  <c:v>75468</c:v>
                </c:pt>
                <c:pt idx="10">
                  <c:v>54865</c:v>
                </c:pt>
                <c:pt idx="11">
                  <c:v>45710</c:v>
                </c:pt>
                <c:pt idx="12">
                  <c:v>32015</c:v>
                </c:pt>
                <c:pt idx="13">
                  <c:v>95120</c:v>
                </c:pt>
                <c:pt idx="14">
                  <c:v>30217</c:v>
                </c:pt>
                <c:pt idx="15">
                  <c:v>20154</c:v>
                </c:pt>
                <c:pt idx="16">
                  <c:v>45862</c:v>
                </c:pt>
                <c:pt idx="17">
                  <c:v>30215</c:v>
                </c:pt>
                <c:pt idx="18">
                  <c:v>78451</c:v>
                </c:pt>
                <c:pt idx="19">
                  <c:v>63254</c:v>
                </c:pt>
                <c:pt idx="20">
                  <c:v>10245</c:v>
                </c:pt>
                <c:pt idx="21">
                  <c:v>96012</c:v>
                </c:pt>
                <c:pt idx="22">
                  <c:v>55625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B5-4841-A6BA-B9F85DBB71CD}"/>
            </c:ext>
          </c:extLst>
        </c:ser>
        <c:ser>
          <c:idx val="1"/>
          <c:order val="1"/>
          <c:tx>
            <c:v>Forecast</c:v>
          </c:tx>
          <c:val>
            <c:numRef>
              <c:f>'Moving Average'!$C$2:$C$24</c:f>
              <c:numCache>
                <c:formatCode>General</c:formatCode>
                <c:ptCount val="2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49599.8</c:v>
                </c:pt>
                <c:pt idx="5">
                  <c:v>43057.599999999999</c:v>
                </c:pt>
                <c:pt idx="6">
                  <c:v>49763.8</c:v>
                </c:pt>
                <c:pt idx="7">
                  <c:v>41216.199999999997</c:v>
                </c:pt>
                <c:pt idx="8">
                  <c:v>38403.599999999999</c:v>
                </c:pt>
                <c:pt idx="9">
                  <c:v>48322.400000000001</c:v>
                </c:pt>
                <c:pt idx="10">
                  <c:v>56644.6</c:v>
                </c:pt>
                <c:pt idx="11">
                  <c:v>46037.599999999999</c:v>
                </c:pt>
                <c:pt idx="12">
                  <c:v>45923.199999999997</c:v>
                </c:pt>
                <c:pt idx="13">
                  <c:v>60635.6</c:v>
                </c:pt>
                <c:pt idx="14">
                  <c:v>51585.4</c:v>
                </c:pt>
                <c:pt idx="15">
                  <c:v>44643.199999999997</c:v>
                </c:pt>
                <c:pt idx="16">
                  <c:v>44673.599999999999</c:v>
                </c:pt>
                <c:pt idx="17">
                  <c:v>44313.599999999999</c:v>
                </c:pt>
                <c:pt idx="18">
                  <c:v>40979.800000000003</c:v>
                </c:pt>
                <c:pt idx="19">
                  <c:v>47587.199999999997</c:v>
                </c:pt>
                <c:pt idx="20">
                  <c:v>45605.4</c:v>
                </c:pt>
                <c:pt idx="21">
                  <c:v>55635.4</c:v>
                </c:pt>
                <c:pt idx="22">
                  <c:v>60717.4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B5-4841-A6BA-B9F85DBB7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1816208"/>
        <c:axId val="861818608"/>
      </c:lineChart>
      <c:catAx>
        <c:axId val="861816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Dates</a:t>
                </a:r>
              </a:p>
            </c:rich>
          </c:tx>
          <c:overlay val="0"/>
        </c:title>
        <c:majorTickMark val="out"/>
        <c:minorTickMark val="none"/>
        <c:tickLblPos val="nextTo"/>
        <c:crossAx val="861818608"/>
        <c:crosses val="autoZero"/>
        <c:auto val="1"/>
        <c:lblAlgn val="ctr"/>
        <c:lblOffset val="100"/>
        <c:noMultiLvlLbl val="0"/>
      </c:catAx>
      <c:valAx>
        <c:axId val="8618186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6181620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72082239720034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Correlation!$C$1</c:f>
              <c:strCache>
                <c:ptCount val="1"/>
                <c:pt idx="0">
                  <c:v>Net Sales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Correlation!$B$2:$B$7</c:f>
              <c:numCache>
                <c:formatCode>General</c:formatCode>
                <c:ptCount val="6"/>
                <c:pt idx="0">
                  <c:v>189</c:v>
                </c:pt>
                <c:pt idx="1">
                  <c:v>187</c:v>
                </c:pt>
                <c:pt idx="2">
                  <c:v>190</c:v>
                </c:pt>
                <c:pt idx="3">
                  <c:v>195</c:v>
                </c:pt>
                <c:pt idx="4">
                  <c:v>199</c:v>
                </c:pt>
                <c:pt idx="5">
                  <c:v>188</c:v>
                </c:pt>
              </c:numCache>
            </c:numRef>
          </c:xVal>
          <c:yVal>
            <c:numRef>
              <c:f>Correlation!$C$2:$C$7</c:f>
              <c:numCache>
                <c:formatCode>General</c:formatCode>
                <c:ptCount val="6"/>
                <c:pt idx="0">
                  <c:v>1254978</c:v>
                </c:pt>
                <c:pt idx="1">
                  <c:v>1154632</c:v>
                </c:pt>
                <c:pt idx="2">
                  <c:v>1023654</c:v>
                </c:pt>
                <c:pt idx="3">
                  <c:v>1254201</c:v>
                </c:pt>
                <c:pt idx="4">
                  <c:v>1132011</c:v>
                </c:pt>
                <c:pt idx="5">
                  <c:v>1271601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19-44D3-B66D-01FA65C0D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847200"/>
        <c:axId val="828843840"/>
      </c:scatterChart>
      <c:valAx>
        <c:axId val="82884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843840"/>
        <c:crosses val="autoZero"/>
        <c:crossBetween val="midCat"/>
      </c:valAx>
      <c:valAx>
        <c:axId val="82884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847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74562108307889"/>
          <c:y val="0.23211456429006708"/>
          <c:w val="0.83609111361079869"/>
          <c:h val="0.493215199105596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'Customer Histogram'!$I$12</c:f>
              <c:strCache>
                <c:ptCount val="1"/>
                <c:pt idx="0">
                  <c:v>Frequency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'Customer Histogram'!$H$13:$H$16</c:f>
              <c:strCache>
                <c:ptCount val="4"/>
                <c:pt idx="0">
                  <c:v>26</c:v>
                </c:pt>
                <c:pt idx="1">
                  <c:v>30</c:v>
                </c:pt>
                <c:pt idx="2">
                  <c:v>35</c:v>
                </c:pt>
                <c:pt idx="3">
                  <c:v>More</c:v>
                </c:pt>
              </c:strCache>
            </c:strRef>
          </c:cat>
          <c:val>
            <c:numRef>
              <c:f>'Customer Histogram'!$I$13:$I$16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6-4433-A3D3-0B0DD74F0803}"/>
            </c:ext>
          </c:extLst>
        </c:ser>
        <c:ser>
          <c:idx val="1"/>
          <c:order val="1"/>
          <c:tx>
            <c:strRef>
              <c:f>'Customer Histogram'!$J$12</c:f>
              <c:strCache>
                <c:ptCount val="1"/>
                <c:pt idx="0">
                  <c:v>Cumulative %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'Customer Histogram'!$H$13:$H$16</c:f>
              <c:strCache>
                <c:ptCount val="4"/>
                <c:pt idx="0">
                  <c:v>26</c:v>
                </c:pt>
                <c:pt idx="1">
                  <c:v>30</c:v>
                </c:pt>
                <c:pt idx="2">
                  <c:v>35</c:v>
                </c:pt>
                <c:pt idx="3">
                  <c:v>More</c:v>
                </c:pt>
              </c:strCache>
            </c:strRef>
          </c:cat>
          <c:val>
            <c:numRef>
              <c:f>'Customer Histogram'!$J$13:$J$16</c:f>
              <c:numCache>
                <c:formatCode>0.00%</c:formatCode>
                <c:ptCount val="4"/>
                <c:pt idx="0">
                  <c:v>0.44444444444444442</c:v>
                </c:pt>
                <c:pt idx="1">
                  <c:v>0.66666666666666663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96-4433-A3D3-0B0DD74F0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22067344"/>
        <c:axId val="822070704"/>
      </c:barChart>
      <c:catAx>
        <c:axId val="822067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070704"/>
        <c:crosses val="autoZero"/>
        <c:auto val="1"/>
        <c:lblAlgn val="ctr"/>
        <c:lblOffset val="100"/>
        <c:noMultiLvlLbl val="0"/>
      </c:catAx>
      <c:valAx>
        <c:axId val="82207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06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175260</xdr:colOff>
      <xdr:row>7</xdr:row>
      <xdr:rowOff>175260</xdr:rowOff>
    </xdr:from>
    <xdr:to>
      <xdr:col>19</xdr:col>
      <xdr:colOff>182880</xdr:colOff>
      <xdr:row>17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65D353-8B24-BA69-C5EE-C538C1A19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1</xdr:row>
      <xdr:rowOff>175260</xdr:rowOff>
    </xdr:from>
    <xdr:to>
      <xdr:col>14</xdr:col>
      <xdr:colOff>99060</xdr:colOff>
      <xdr:row>14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2BDD95-775A-2E25-5B6C-CCF8CD468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8</xdr:row>
      <xdr:rowOff>26670</xdr:rowOff>
    </xdr:from>
    <xdr:to>
      <xdr:col>5</xdr:col>
      <xdr:colOff>777240</xdr:colOff>
      <xdr:row>23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922296-A243-CED1-C9EA-A61296E738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297180</xdr:colOff>
      <xdr:row>6</xdr:row>
      <xdr:rowOff>133350</xdr:rowOff>
    </xdr:from>
    <xdr:to>
      <xdr:col>16</xdr:col>
      <xdr:colOff>373380</xdr:colOff>
      <xdr:row>18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784709-2D0E-0D6B-88B6-2F6AB8101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D4B7-15B6-4F1F-ABFC-7691E89176A4}">
  <dimension ref="A2:L17"/>
  <sheetViews>
    <sheetView workbookViewId="0">
      <selection activeCell="I21" sqref="I21"/>
    </sheetView>
  </sheetViews>
  <sheetFormatPr defaultRowHeight="14.4" x14ac:dyDescent="0.3"/>
  <cols>
    <col min="2" max="2" width="10.33203125" bestFit="1" customWidth="1"/>
    <col min="4" max="4" width="11.44140625" customWidth="1"/>
    <col min="9" max="9" width="8.88671875" customWidth="1"/>
    <col min="10" max="10" width="14.44140625" customWidth="1"/>
    <col min="12" max="12" width="12.33203125" customWidth="1"/>
  </cols>
  <sheetData>
    <row r="2" spans="1:12" x14ac:dyDescent="0.3">
      <c r="D2" s="33" t="s">
        <v>0</v>
      </c>
      <c r="E2" s="33"/>
      <c r="F2" s="33"/>
      <c r="G2" s="33"/>
      <c r="H2" s="33"/>
      <c r="I2" s="33"/>
      <c r="J2" s="33"/>
    </row>
    <row r="4" spans="1:12" ht="27" customHeight="1" x14ac:dyDescent="0.3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G4" s="2" t="s">
        <v>24</v>
      </c>
      <c r="H4" s="3" t="s">
        <v>25</v>
      </c>
    </row>
    <row r="5" spans="1:12" x14ac:dyDescent="0.3">
      <c r="A5" s="1">
        <v>157854</v>
      </c>
      <c r="B5" s="15">
        <v>43983</v>
      </c>
      <c r="C5" s="1" t="s">
        <v>6</v>
      </c>
      <c r="D5" s="1">
        <v>12</v>
      </c>
      <c r="E5" s="1" t="s">
        <v>19</v>
      </c>
      <c r="F5" s="1"/>
      <c r="G5" s="20" t="s">
        <v>20</v>
      </c>
      <c r="H5" s="1">
        <v>3</v>
      </c>
    </row>
    <row r="6" spans="1:12" x14ac:dyDescent="0.3">
      <c r="A6" s="1">
        <v>124568</v>
      </c>
      <c r="B6" s="15">
        <v>43984</v>
      </c>
      <c r="C6" s="1" t="s">
        <v>7</v>
      </c>
      <c r="D6" s="1">
        <v>5</v>
      </c>
      <c r="E6" s="1" t="s">
        <v>19</v>
      </c>
      <c r="F6" s="1"/>
      <c r="G6" s="20" t="s">
        <v>21</v>
      </c>
      <c r="H6" s="1">
        <v>7</v>
      </c>
    </row>
    <row r="7" spans="1:12" x14ac:dyDescent="0.3">
      <c r="A7" s="1">
        <v>145987</v>
      </c>
      <c r="B7" s="15">
        <v>43985</v>
      </c>
      <c r="C7" s="1" t="s">
        <v>8</v>
      </c>
      <c r="D7" s="1">
        <v>6</v>
      </c>
      <c r="E7" s="1" t="s">
        <v>19</v>
      </c>
      <c r="F7" s="1"/>
      <c r="G7" s="20" t="s">
        <v>22</v>
      </c>
      <c r="H7" s="1">
        <v>11</v>
      </c>
    </row>
    <row r="8" spans="1:12" x14ac:dyDescent="0.3">
      <c r="A8" s="1">
        <v>125874</v>
      </c>
      <c r="B8" s="15">
        <v>43986</v>
      </c>
      <c r="C8" s="1" t="s">
        <v>9</v>
      </c>
      <c r="D8" s="1">
        <v>4</v>
      </c>
      <c r="E8" s="1" t="s">
        <v>19</v>
      </c>
      <c r="F8" s="1"/>
      <c r="G8" s="20" t="s">
        <v>23</v>
      </c>
      <c r="H8" s="1">
        <v>15</v>
      </c>
    </row>
    <row r="9" spans="1:12" x14ac:dyDescent="0.3">
      <c r="A9" s="1">
        <v>132587</v>
      </c>
      <c r="B9" s="15">
        <v>43987</v>
      </c>
      <c r="C9" s="1" t="s">
        <v>10</v>
      </c>
      <c r="D9" s="1">
        <v>12</v>
      </c>
      <c r="E9" s="1" t="s">
        <v>19</v>
      </c>
      <c r="F9" s="1"/>
      <c r="G9" s="20" t="s">
        <v>26</v>
      </c>
      <c r="H9" s="1"/>
    </row>
    <row r="10" spans="1:12" x14ac:dyDescent="0.3">
      <c r="A10" s="1">
        <v>102354</v>
      </c>
      <c r="B10" s="15">
        <v>43988</v>
      </c>
      <c r="C10" s="1" t="s">
        <v>11</v>
      </c>
      <c r="D10" s="1">
        <v>14</v>
      </c>
      <c r="E10" s="1" t="s">
        <v>19</v>
      </c>
      <c r="F10" s="1"/>
      <c r="G10" s="1"/>
      <c r="H10" s="1"/>
    </row>
    <row r="11" spans="1:12" ht="15" thickBot="1" x14ac:dyDescent="0.35">
      <c r="A11" s="1">
        <v>156030</v>
      </c>
      <c r="B11" s="15">
        <v>43989</v>
      </c>
      <c r="C11" s="1" t="s">
        <v>12</v>
      </c>
      <c r="D11" s="1">
        <v>15</v>
      </c>
      <c r="E11" s="1" t="s">
        <v>19</v>
      </c>
      <c r="F11" s="1"/>
      <c r="G11" s="1"/>
      <c r="H11" s="1"/>
    </row>
    <row r="12" spans="1:12" x14ac:dyDescent="0.3">
      <c r="A12" s="1">
        <v>187901</v>
      </c>
      <c r="B12" s="15">
        <v>43990</v>
      </c>
      <c r="C12" s="1" t="s">
        <v>13</v>
      </c>
      <c r="D12" s="1">
        <v>9</v>
      </c>
      <c r="E12" s="1" t="s">
        <v>19</v>
      </c>
      <c r="F12" s="1"/>
      <c r="G12" s="11" t="s">
        <v>24</v>
      </c>
      <c r="H12" s="11" t="s">
        <v>28</v>
      </c>
      <c r="I12" s="11" t="s">
        <v>29</v>
      </c>
      <c r="J12" s="11" t="s">
        <v>24</v>
      </c>
      <c r="K12" s="11" t="s">
        <v>28</v>
      </c>
      <c r="L12" s="11" t="s">
        <v>29</v>
      </c>
    </row>
    <row r="13" spans="1:12" x14ac:dyDescent="0.3">
      <c r="A13" s="1">
        <v>120450</v>
      </c>
      <c r="B13" s="15">
        <v>43991</v>
      </c>
      <c r="C13" s="1" t="s">
        <v>14</v>
      </c>
      <c r="D13" s="1">
        <v>3</v>
      </c>
      <c r="E13" s="1" t="s">
        <v>19</v>
      </c>
      <c r="F13" s="1"/>
      <c r="G13">
        <v>3</v>
      </c>
      <c r="H13">
        <v>1</v>
      </c>
      <c r="I13" s="18">
        <v>7.6923076923076927E-2</v>
      </c>
      <c r="J13">
        <v>15</v>
      </c>
      <c r="K13">
        <v>5</v>
      </c>
      <c r="L13" s="18">
        <v>0.38461538461538464</v>
      </c>
    </row>
    <row r="14" spans="1:12" x14ac:dyDescent="0.3">
      <c r="A14" s="1">
        <v>147805</v>
      </c>
      <c r="B14" s="15">
        <v>43992</v>
      </c>
      <c r="C14" s="1" t="s">
        <v>15</v>
      </c>
      <c r="D14" s="1">
        <v>8</v>
      </c>
      <c r="E14" s="1" t="s">
        <v>19</v>
      </c>
      <c r="F14" s="1"/>
      <c r="G14">
        <v>7</v>
      </c>
      <c r="H14">
        <v>4</v>
      </c>
      <c r="I14" s="18">
        <v>0.38461538461538464</v>
      </c>
      <c r="J14">
        <v>7</v>
      </c>
      <c r="K14">
        <v>4</v>
      </c>
      <c r="L14" s="18">
        <v>0.69230769230769229</v>
      </c>
    </row>
    <row r="15" spans="1:12" x14ac:dyDescent="0.3">
      <c r="A15" s="1">
        <v>136920</v>
      </c>
      <c r="B15" s="15">
        <v>43993</v>
      </c>
      <c r="C15" s="1" t="s">
        <v>16</v>
      </c>
      <c r="D15" s="1">
        <v>7</v>
      </c>
      <c r="E15" s="1" t="s">
        <v>19</v>
      </c>
      <c r="F15" s="1"/>
      <c r="G15">
        <v>11</v>
      </c>
      <c r="H15">
        <v>3</v>
      </c>
      <c r="I15" s="18">
        <v>0.61538461538461542</v>
      </c>
      <c r="J15">
        <v>11</v>
      </c>
      <c r="K15">
        <v>3</v>
      </c>
      <c r="L15" s="18">
        <v>0.92307692307692313</v>
      </c>
    </row>
    <row r="16" spans="1:12" x14ac:dyDescent="0.3">
      <c r="A16" s="1">
        <v>104751</v>
      </c>
      <c r="B16" s="15">
        <v>43994</v>
      </c>
      <c r="C16" s="1" t="s">
        <v>17</v>
      </c>
      <c r="D16" s="1">
        <v>13</v>
      </c>
      <c r="E16" s="1" t="s">
        <v>19</v>
      </c>
      <c r="F16" s="1"/>
      <c r="G16">
        <v>15</v>
      </c>
      <c r="H16">
        <v>5</v>
      </c>
      <c r="I16" s="18">
        <v>1</v>
      </c>
      <c r="J16">
        <v>3</v>
      </c>
      <c r="K16">
        <v>1</v>
      </c>
      <c r="L16" s="18">
        <v>1</v>
      </c>
    </row>
    <row r="17" spans="1:12" ht="15" thickBot="1" x14ac:dyDescent="0.35">
      <c r="A17" s="1">
        <v>178018</v>
      </c>
      <c r="B17" s="15">
        <v>43995</v>
      </c>
      <c r="C17" s="1" t="s">
        <v>18</v>
      </c>
      <c r="D17" s="1">
        <v>11</v>
      </c>
      <c r="E17" s="1" t="s">
        <v>19</v>
      </c>
      <c r="F17" s="1"/>
      <c r="G17" s="10" t="s">
        <v>27</v>
      </c>
      <c r="H17" s="10">
        <v>0</v>
      </c>
      <c r="I17" s="19">
        <v>1</v>
      </c>
      <c r="J17" s="10" t="s">
        <v>27</v>
      </c>
      <c r="K17" s="10">
        <v>0</v>
      </c>
      <c r="L17" s="19">
        <v>1</v>
      </c>
    </row>
  </sheetData>
  <sortState xmlns:xlrd2="http://schemas.microsoft.com/office/spreadsheetml/2017/richdata2" ref="J13:K17">
    <sortCondition descending="1" ref="K13"/>
  </sortState>
  <mergeCells count="1">
    <mergeCell ref="D2:J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4ED6-2502-4E3C-83D6-757E57F651CE}">
  <dimension ref="A1:C24"/>
  <sheetViews>
    <sheetView workbookViewId="0">
      <selection activeCell="F21" sqref="F21"/>
    </sheetView>
  </sheetViews>
  <sheetFormatPr defaultRowHeight="14.4" x14ac:dyDescent="0.3"/>
  <cols>
    <col min="1" max="1" width="11" customWidth="1"/>
  </cols>
  <sheetData>
    <row r="1" spans="1:3" x14ac:dyDescent="0.3">
      <c r="A1" s="21" t="s">
        <v>107</v>
      </c>
      <c r="B1" s="21" t="s">
        <v>108</v>
      </c>
      <c r="C1" s="21" t="s">
        <v>109</v>
      </c>
    </row>
    <row r="2" spans="1:3" x14ac:dyDescent="0.3">
      <c r="A2" s="4">
        <v>43466</v>
      </c>
      <c r="B2">
        <v>45965</v>
      </c>
      <c r="C2" t="e">
        <v>#N/A</v>
      </c>
    </row>
    <row r="3" spans="1:3" x14ac:dyDescent="0.3">
      <c r="A3" s="4">
        <v>43467</v>
      </c>
      <c r="B3">
        <v>65214</v>
      </c>
      <c r="C3" t="e">
        <v>#N/A</v>
      </c>
    </row>
    <row r="4" spans="1:3" x14ac:dyDescent="0.3">
      <c r="A4" s="4">
        <v>43468</v>
      </c>
      <c r="B4">
        <v>75325</v>
      </c>
      <c r="C4" t="e">
        <v>#N/A</v>
      </c>
    </row>
    <row r="5" spans="1:3" x14ac:dyDescent="0.3">
      <c r="A5" s="4">
        <v>43469</v>
      </c>
      <c r="B5">
        <v>35621</v>
      </c>
      <c r="C5" t="e">
        <v>#N/A</v>
      </c>
    </row>
    <row r="6" spans="1:3" x14ac:dyDescent="0.3">
      <c r="A6" s="4">
        <v>43470</v>
      </c>
      <c r="B6">
        <v>25874</v>
      </c>
      <c r="C6">
        <f t="shared" ref="C6:C24" si="0">AVERAGE(B2:B6)</f>
        <v>49599.8</v>
      </c>
    </row>
    <row r="7" spans="1:3" x14ac:dyDescent="0.3">
      <c r="A7" s="4">
        <v>43471</v>
      </c>
      <c r="B7">
        <v>13254</v>
      </c>
      <c r="C7">
        <f t="shared" si="0"/>
        <v>43057.599999999999</v>
      </c>
    </row>
    <row r="8" spans="1:3" x14ac:dyDescent="0.3">
      <c r="A8" s="4">
        <v>43472</v>
      </c>
      <c r="B8">
        <v>98745</v>
      </c>
      <c r="C8">
        <f t="shared" si="0"/>
        <v>49763.8</v>
      </c>
    </row>
    <row r="9" spans="1:3" x14ac:dyDescent="0.3">
      <c r="A9" s="4">
        <v>43473</v>
      </c>
      <c r="B9">
        <v>32587</v>
      </c>
      <c r="C9">
        <f t="shared" si="0"/>
        <v>41216.199999999997</v>
      </c>
    </row>
    <row r="10" spans="1:3" x14ac:dyDescent="0.3">
      <c r="A10" s="4">
        <v>43474</v>
      </c>
      <c r="B10">
        <v>21558</v>
      </c>
      <c r="C10">
        <f t="shared" si="0"/>
        <v>38403.599999999999</v>
      </c>
    </row>
    <row r="11" spans="1:3" x14ac:dyDescent="0.3">
      <c r="A11" s="4">
        <v>43475</v>
      </c>
      <c r="B11">
        <v>75468</v>
      </c>
      <c r="C11">
        <f t="shared" si="0"/>
        <v>48322.400000000001</v>
      </c>
    </row>
    <row r="12" spans="1:3" x14ac:dyDescent="0.3">
      <c r="A12" s="4">
        <v>43476</v>
      </c>
      <c r="B12">
        <v>54865</v>
      </c>
      <c r="C12">
        <f t="shared" si="0"/>
        <v>56644.6</v>
      </c>
    </row>
    <row r="13" spans="1:3" x14ac:dyDescent="0.3">
      <c r="A13" s="4">
        <v>43477</v>
      </c>
      <c r="B13">
        <v>45710</v>
      </c>
      <c r="C13">
        <f t="shared" si="0"/>
        <v>46037.599999999999</v>
      </c>
    </row>
    <row r="14" spans="1:3" x14ac:dyDescent="0.3">
      <c r="A14" s="4">
        <v>43478</v>
      </c>
      <c r="B14">
        <v>32015</v>
      </c>
      <c r="C14">
        <f t="shared" si="0"/>
        <v>45923.199999999997</v>
      </c>
    </row>
    <row r="15" spans="1:3" x14ac:dyDescent="0.3">
      <c r="A15" s="4">
        <v>43479</v>
      </c>
      <c r="B15">
        <v>95120</v>
      </c>
      <c r="C15">
        <f t="shared" si="0"/>
        <v>60635.6</v>
      </c>
    </row>
    <row r="16" spans="1:3" x14ac:dyDescent="0.3">
      <c r="A16" s="4">
        <v>43480</v>
      </c>
      <c r="B16">
        <v>30217</v>
      </c>
      <c r="C16">
        <f t="shared" si="0"/>
        <v>51585.4</v>
      </c>
    </row>
    <row r="17" spans="1:3" x14ac:dyDescent="0.3">
      <c r="A17" s="4">
        <v>43481</v>
      </c>
      <c r="B17">
        <v>20154</v>
      </c>
      <c r="C17">
        <f t="shared" si="0"/>
        <v>44643.199999999997</v>
      </c>
    </row>
    <row r="18" spans="1:3" x14ac:dyDescent="0.3">
      <c r="A18" s="4">
        <v>43482</v>
      </c>
      <c r="B18">
        <v>45862</v>
      </c>
      <c r="C18">
        <f t="shared" si="0"/>
        <v>44673.599999999999</v>
      </c>
    </row>
    <row r="19" spans="1:3" x14ac:dyDescent="0.3">
      <c r="A19" s="4">
        <v>43483</v>
      </c>
      <c r="B19">
        <v>30215</v>
      </c>
      <c r="C19">
        <f t="shared" si="0"/>
        <v>44313.599999999999</v>
      </c>
    </row>
    <row r="20" spans="1:3" x14ac:dyDescent="0.3">
      <c r="A20" s="4">
        <v>43484</v>
      </c>
      <c r="B20">
        <v>78451</v>
      </c>
      <c r="C20">
        <f t="shared" si="0"/>
        <v>40979.800000000003</v>
      </c>
    </row>
    <row r="21" spans="1:3" x14ac:dyDescent="0.3">
      <c r="A21" s="4">
        <v>43485</v>
      </c>
      <c r="B21">
        <v>63254</v>
      </c>
      <c r="C21">
        <f t="shared" si="0"/>
        <v>47587.199999999997</v>
      </c>
    </row>
    <row r="22" spans="1:3" x14ac:dyDescent="0.3">
      <c r="A22" s="4">
        <v>43486</v>
      </c>
      <c r="B22">
        <v>10245</v>
      </c>
      <c r="C22">
        <f t="shared" si="0"/>
        <v>45605.4</v>
      </c>
    </row>
    <row r="23" spans="1:3" x14ac:dyDescent="0.3">
      <c r="A23" s="4">
        <v>43487</v>
      </c>
      <c r="B23">
        <v>96012</v>
      </c>
      <c r="C23">
        <f t="shared" si="0"/>
        <v>55635.4</v>
      </c>
    </row>
    <row r="24" spans="1:3" x14ac:dyDescent="0.3">
      <c r="A24" s="4">
        <v>43488</v>
      </c>
      <c r="B24">
        <v>55625</v>
      </c>
      <c r="C24">
        <f t="shared" si="0"/>
        <v>60717.4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19575-ED35-4E8C-A07D-00C17E3A01C1}">
  <dimension ref="B2:K9"/>
  <sheetViews>
    <sheetView zoomScale="94" workbookViewId="0">
      <selection activeCell="K15" sqref="K15"/>
    </sheetView>
  </sheetViews>
  <sheetFormatPr defaultRowHeight="14.4" x14ac:dyDescent="0.3"/>
  <cols>
    <col min="2" max="2" width="15.44140625" customWidth="1"/>
    <col min="3" max="3" width="11.33203125" bestFit="1" customWidth="1"/>
    <col min="6" max="6" width="11" bestFit="1" customWidth="1"/>
    <col min="7" max="11" width="9.88671875" bestFit="1" customWidth="1"/>
  </cols>
  <sheetData>
    <row r="2" spans="2:11" x14ac:dyDescent="0.3">
      <c r="B2" s="34" t="s">
        <v>30</v>
      </c>
      <c r="C2" s="34"/>
      <c r="D2" s="34"/>
    </row>
    <row r="3" spans="2:11" x14ac:dyDescent="0.3">
      <c r="B3" t="s">
        <v>31</v>
      </c>
      <c r="C3" s="5">
        <v>5000</v>
      </c>
      <c r="F3" s="6">
        <f>C9</f>
        <v>20000</v>
      </c>
      <c r="G3" s="6">
        <v>5200</v>
      </c>
      <c r="H3" s="6">
        <v>4800</v>
      </c>
      <c r="I3" s="6">
        <v>5500</v>
      </c>
      <c r="J3" s="6">
        <v>6000</v>
      </c>
      <c r="K3" s="6">
        <v>5800</v>
      </c>
    </row>
    <row r="4" spans="2:11" x14ac:dyDescent="0.3">
      <c r="B4" t="s">
        <v>32</v>
      </c>
      <c r="C4" s="6">
        <v>10</v>
      </c>
      <c r="F4" s="6">
        <v>9</v>
      </c>
      <c r="G4">
        <f t="dataTable" ref="G4:K7" dt2D="1" dtr="1" r1="C3" r2="C4"/>
        <v>20000</v>
      </c>
      <c r="H4">
        <v>20000</v>
      </c>
      <c r="I4">
        <v>20000</v>
      </c>
      <c r="J4">
        <v>20000</v>
      </c>
      <c r="K4">
        <v>20000</v>
      </c>
    </row>
    <row r="5" spans="2:11" x14ac:dyDescent="0.3">
      <c r="B5" t="s">
        <v>33</v>
      </c>
      <c r="C5" s="6">
        <v>50000</v>
      </c>
      <c r="F5" s="6">
        <v>10</v>
      </c>
      <c r="G5">
        <v>20000</v>
      </c>
      <c r="H5">
        <v>20000</v>
      </c>
      <c r="I5">
        <v>20000</v>
      </c>
      <c r="J5">
        <v>20000</v>
      </c>
      <c r="K5">
        <v>20000</v>
      </c>
    </row>
    <row r="6" spans="2:11" x14ac:dyDescent="0.3">
      <c r="B6" t="s">
        <v>34</v>
      </c>
      <c r="C6" s="6">
        <v>10000</v>
      </c>
      <c r="F6" s="6">
        <v>11</v>
      </c>
      <c r="G6">
        <v>20000</v>
      </c>
      <c r="H6">
        <v>20000</v>
      </c>
      <c r="I6">
        <v>20000</v>
      </c>
      <c r="J6">
        <v>20000</v>
      </c>
      <c r="K6">
        <v>20000</v>
      </c>
    </row>
    <row r="7" spans="2:11" x14ac:dyDescent="0.3">
      <c r="B7" t="s">
        <v>35</v>
      </c>
      <c r="C7" s="6">
        <v>20000</v>
      </c>
      <c r="F7" s="6">
        <v>12</v>
      </c>
      <c r="G7">
        <v>20000</v>
      </c>
      <c r="H7">
        <v>20000</v>
      </c>
      <c r="I7">
        <v>20000</v>
      </c>
      <c r="J7">
        <v>20000</v>
      </c>
      <c r="K7">
        <v>20000</v>
      </c>
    </row>
    <row r="8" spans="2:11" x14ac:dyDescent="0.3">
      <c r="C8" s="6"/>
    </row>
    <row r="9" spans="2:11" x14ac:dyDescent="0.3">
      <c r="B9" s="7" t="s">
        <v>36</v>
      </c>
      <c r="C9" s="8">
        <v>20000</v>
      </c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490C-5D0E-44B0-ADBF-6D148CD23C3C}">
  <dimension ref="C2:K18"/>
  <sheetViews>
    <sheetView workbookViewId="0">
      <selection activeCell="M16" sqref="M16"/>
    </sheetView>
  </sheetViews>
  <sheetFormatPr defaultRowHeight="14.4" x14ac:dyDescent="0.3"/>
  <cols>
    <col min="3" max="3" width="11.88671875" customWidth="1"/>
    <col min="4" max="4" width="11.44140625" customWidth="1"/>
    <col min="7" max="7" width="16.88671875" customWidth="1"/>
    <col min="8" max="8" width="12.77734375" customWidth="1"/>
    <col min="10" max="10" width="16.88671875" customWidth="1"/>
    <col min="11" max="11" width="13.6640625" customWidth="1"/>
  </cols>
  <sheetData>
    <row r="2" spans="3:11" ht="9" customHeight="1" x14ac:dyDescent="0.3"/>
    <row r="3" spans="3:11" ht="22.2" customHeight="1" thickBot="1" x14ac:dyDescent="0.35">
      <c r="C3" s="35" t="s">
        <v>37</v>
      </c>
      <c r="D3" s="35"/>
    </row>
    <row r="4" spans="3:11" ht="18" customHeight="1" x14ac:dyDescent="0.3">
      <c r="C4" s="9" t="s">
        <v>38</v>
      </c>
      <c r="D4" s="9" t="s">
        <v>39</v>
      </c>
      <c r="G4" s="13" t="s">
        <v>76</v>
      </c>
      <c r="H4" s="13"/>
      <c r="J4" s="13" t="s">
        <v>77</v>
      </c>
      <c r="K4" s="13"/>
    </row>
    <row r="5" spans="3:11" x14ac:dyDescent="0.3">
      <c r="C5" s="1">
        <v>48</v>
      </c>
      <c r="D5" s="1">
        <v>45</v>
      </c>
    </row>
    <row r="6" spans="3:11" x14ac:dyDescent="0.3">
      <c r="C6" s="1">
        <v>65</v>
      </c>
      <c r="D6" s="1">
        <v>97</v>
      </c>
      <c r="G6" t="s">
        <v>64</v>
      </c>
      <c r="H6">
        <v>53.545454545454547</v>
      </c>
      <c r="J6" t="s">
        <v>64</v>
      </c>
      <c r="K6">
        <v>55.727272727272727</v>
      </c>
    </row>
    <row r="7" spans="3:11" x14ac:dyDescent="0.3">
      <c r="C7" s="1">
        <v>87</v>
      </c>
      <c r="D7" s="1">
        <v>54</v>
      </c>
      <c r="G7" t="s">
        <v>45</v>
      </c>
      <c r="H7">
        <v>6.2251157511890867</v>
      </c>
      <c r="J7" t="s">
        <v>45</v>
      </c>
      <c r="K7">
        <v>7.5354808124220014</v>
      </c>
    </row>
    <row r="8" spans="3:11" x14ac:dyDescent="0.3">
      <c r="C8" s="1">
        <v>24</v>
      </c>
      <c r="D8" s="1">
        <v>35</v>
      </c>
      <c r="G8" t="s">
        <v>65</v>
      </c>
      <c r="H8">
        <v>48</v>
      </c>
      <c r="J8" t="s">
        <v>65</v>
      </c>
      <c r="K8">
        <v>54</v>
      </c>
    </row>
    <row r="9" spans="3:11" x14ac:dyDescent="0.3">
      <c r="C9" s="1">
        <v>45</v>
      </c>
      <c r="D9" s="1">
        <v>56</v>
      </c>
      <c r="G9" t="s">
        <v>66</v>
      </c>
      <c r="H9">
        <v>48</v>
      </c>
      <c r="J9" t="s">
        <v>66</v>
      </c>
      <c r="K9">
        <v>35</v>
      </c>
    </row>
    <row r="10" spans="3:11" x14ac:dyDescent="0.3">
      <c r="C10" s="1">
        <v>68</v>
      </c>
      <c r="D10" s="1">
        <v>94</v>
      </c>
      <c r="G10" t="s">
        <v>67</v>
      </c>
      <c r="H10">
        <v>20.646373223225602</v>
      </c>
      <c r="J10" t="s">
        <v>67</v>
      </c>
      <c r="K10">
        <v>24.99236246972626</v>
      </c>
    </row>
    <row r="11" spans="3:11" x14ac:dyDescent="0.3">
      <c r="C11" s="1">
        <v>78</v>
      </c>
      <c r="D11" s="1">
        <v>15</v>
      </c>
      <c r="G11" t="s">
        <v>68</v>
      </c>
      <c r="H11">
        <v>426.2727272727272</v>
      </c>
      <c r="J11" t="s">
        <v>68</v>
      </c>
      <c r="K11">
        <v>624.6181818181816</v>
      </c>
    </row>
    <row r="12" spans="3:11" x14ac:dyDescent="0.3">
      <c r="C12" s="1">
        <v>32</v>
      </c>
      <c r="D12" s="1">
        <v>59</v>
      </c>
      <c r="G12" t="s">
        <v>69</v>
      </c>
      <c r="H12">
        <v>-1.1034698443665163</v>
      </c>
      <c r="J12" t="s">
        <v>69</v>
      </c>
      <c r="K12">
        <v>-0.25576448466803114</v>
      </c>
    </row>
    <row r="13" spans="3:11" x14ac:dyDescent="0.3">
      <c r="C13" s="1">
        <v>29</v>
      </c>
      <c r="D13" s="1">
        <v>75</v>
      </c>
      <c r="G13" t="s">
        <v>70</v>
      </c>
      <c r="H13">
        <v>9.0918189523201395E-2</v>
      </c>
      <c r="J13" t="s">
        <v>70</v>
      </c>
      <c r="K13">
        <v>0.36403351187724553</v>
      </c>
    </row>
    <row r="14" spans="3:11" x14ac:dyDescent="0.3">
      <c r="C14" s="1">
        <v>65</v>
      </c>
      <c r="D14" s="1">
        <v>35</v>
      </c>
      <c r="G14" t="s">
        <v>71</v>
      </c>
      <c r="H14">
        <v>63</v>
      </c>
      <c r="J14" t="s">
        <v>71</v>
      </c>
      <c r="K14">
        <v>82</v>
      </c>
    </row>
    <row r="15" spans="3:11" x14ac:dyDescent="0.3">
      <c r="C15" s="1">
        <v>48</v>
      </c>
      <c r="D15" s="1">
        <v>48</v>
      </c>
      <c r="G15" t="s">
        <v>72</v>
      </c>
      <c r="H15">
        <v>24</v>
      </c>
      <c r="J15" t="s">
        <v>72</v>
      </c>
      <c r="K15">
        <v>15</v>
      </c>
    </row>
    <row r="16" spans="3:11" x14ac:dyDescent="0.3">
      <c r="G16" t="s">
        <v>73</v>
      </c>
      <c r="H16">
        <v>87</v>
      </c>
      <c r="J16" t="s">
        <v>73</v>
      </c>
      <c r="K16">
        <v>97</v>
      </c>
    </row>
    <row r="17" spans="7:11" x14ac:dyDescent="0.3">
      <c r="G17" t="s">
        <v>74</v>
      </c>
      <c r="H17">
        <v>589</v>
      </c>
      <c r="J17" t="s">
        <v>74</v>
      </c>
      <c r="K17">
        <v>613</v>
      </c>
    </row>
    <row r="18" spans="7:11" ht="15" thickBot="1" x14ac:dyDescent="0.35">
      <c r="G18" s="10" t="s">
        <v>75</v>
      </c>
      <c r="H18" s="10">
        <v>11</v>
      </c>
      <c r="J18" s="10" t="s">
        <v>75</v>
      </c>
      <c r="K18" s="10">
        <v>11</v>
      </c>
    </row>
  </sheetData>
  <mergeCells count="1">
    <mergeCell ref="C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BB9EF-0371-4D24-ABC0-77FFACDB2F01}">
  <dimension ref="A1:L23"/>
  <sheetViews>
    <sheetView workbookViewId="0">
      <selection activeCell="G18" sqref="G18"/>
    </sheetView>
  </sheetViews>
  <sheetFormatPr defaultRowHeight="14.4" x14ac:dyDescent="0.3"/>
  <cols>
    <col min="1" max="1" width="12.77734375" customWidth="1"/>
    <col min="2" max="2" width="10.33203125" customWidth="1"/>
    <col min="4" max="4" width="11.44140625" customWidth="1"/>
    <col min="6" max="6" width="18.21875" customWidth="1"/>
  </cols>
  <sheetData>
    <row r="1" spans="1:12" x14ac:dyDescent="0.3">
      <c r="A1" s="14" t="s">
        <v>121</v>
      </c>
      <c r="B1" s="14" t="s">
        <v>110</v>
      </c>
      <c r="C1" s="14" t="s">
        <v>111</v>
      </c>
      <c r="D1" s="14" t="s">
        <v>122</v>
      </c>
      <c r="F1" s="25" t="s">
        <v>123</v>
      </c>
    </row>
    <row r="2" spans="1:12" x14ac:dyDescent="0.3">
      <c r="A2">
        <v>1</v>
      </c>
      <c r="B2" s="1">
        <v>456</v>
      </c>
      <c r="C2" s="1">
        <v>666</v>
      </c>
      <c r="D2" s="1">
        <v>603</v>
      </c>
    </row>
    <row r="3" spans="1:12" ht="15" thickBot="1" x14ac:dyDescent="0.35">
      <c r="A3">
        <v>2</v>
      </c>
      <c r="B3" s="1">
        <v>465</v>
      </c>
      <c r="C3" s="1">
        <v>456</v>
      </c>
      <c r="D3" s="1">
        <v>456</v>
      </c>
      <c r="F3" t="s">
        <v>124</v>
      </c>
    </row>
    <row r="4" spans="1:12" x14ac:dyDescent="0.3">
      <c r="A4">
        <v>3</v>
      </c>
      <c r="B4" s="1">
        <v>425</v>
      </c>
      <c r="C4" s="1">
        <v>478</v>
      </c>
      <c r="D4" s="1">
        <v>521</v>
      </c>
      <c r="F4" s="11" t="s">
        <v>125</v>
      </c>
      <c r="G4" s="11" t="s">
        <v>75</v>
      </c>
      <c r="H4" s="11" t="s">
        <v>74</v>
      </c>
      <c r="I4" s="11" t="s">
        <v>126</v>
      </c>
      <c r="J4" s="11" t="s">
        <v>113</v>
      </c>
    </row>
    <row r="5" spans="1:12" x14ac:dyDescent="0.3">
      <c r="A5">
        <v>4</v>
      </c>
      <c r="B5" s="1">
        <v>415</v>
      </c>
      <c r="C5" s="1">
        <v>556</v>
      </c>
      <c r="D5" s="1">
        <v>587</v>
      </c>
      <c r="F5" t="s">
        <v>110</v>
      </c>
      <c r="G5">
        <v>22</v>
      </c>
      <c r="H5">
        <v>11634</v>
      </c>
      <c r="I5">
        <v>528.81818181818187</v>
      </c>
      <c r="J5">
        <v>6729.5844155844034</v>
      </c>
    </row>
    <row r="6" spans="1:12" x14ac:dyDescent="0.3">
      <c r="A6">
        <v>5</v>
      </c>
      <c r="B6" s="1">
        <v>478</v>
      </c>
      <c r="C6" s="1">
        <v>410</v>
      </c>
      <c r="D6" s="1">
        <v>412</v>
      </c>
      <c r="F6" t="s">
        <v>111</v>
      </c>
      <c r="G6">
        <v>22</v>
      </c>
      <c r="H6">
        <v>11814</v>
      </c>
      <c r="I6">
        <v>537</v>
      </c>
      <c r="J6">
        <v>9949.6190476190477</v>
      </c>
    </row>
    <row r="7" spans="1:12" ht="15" thickBot="1" x14ac:dyDescent="0.35">
      <c r="A7">
        <v>6</v>
      </c>
      <c r="B7" s="1">
        <v>496</v>
      </c>
      <c r="C7" s="1">
        <v>521</v>
      </c>
      <c r="D7" s="1">
        <v>632</v>
      </c>
      <c r="F7" s="10" t="s">
        <v>122</v>
      </c>
      <c r="G7" s="10">
        <v>22</v>
      </c>
      <c r="H7" s="10">
        <v>12292</v>
      </c>
      <c r="I7" s="10">
        <v>558.72727272727275</v>
      </c>
      <c r="J7" s="10">
        <v>8437.9220779220614</v>
      </c>
    </row>
    <row r="8" spans="1:12" x14ac:dyDescent="0.3">
      <c r="A8">
        <v>7</v>
      </c>
      <c r="B8" s="1">
        <v>562</v>
      </c>
      <c r="C8" s="1">
        <v>532</v>
      </c>
      <c r="D8" s="1">
        <v>698</v>
      </c>
    </row>
    <row r="9" spans="1:12" x14ac:dyDescent="0.3">
      <c r="A9">
        <v>8</v>
      </c>
      <c r="B9" s="1">
        <v>541</v>
      </c>
      <c r="C9" s="1">
        <v>401</v>
      </c>
      <c r="D9" s="1">
        <v>469</v>
      </c>
    </row>
    <row r="10" spans="1:12" ht="15" thickBot="1" x14ac:dyDescent="0.35">
      <c r="A10">
        <v>9</v>
      </c>
      <c r="B10" s="1">
        <v>632</v>
      </c>
      <c r="C10" s="1">
        <v>633</v>
      </c>
      <c r="D10" s="1">
        <v>523</v>
      </c>
      <c r="F10" t="s">
        <v>47</v>
      </c>
    </row>
    <row r="11" spans="1:12" x14ac:dyDescent="0.3">
      <c r="A11">
        <v>10</v>
      </c>
      <c r="B11" s="1">
        <v>578</v>
      </c>
      <c r="C11" s="1">
        <v>701</v>
      </c>
      <c r="D11" s="1">
        <v>587</v>
      </c>
      <c r="F11" s="11" t="s">
        <v>127</v>
      </c>
      <c r="G11" s="11" t="s">
        <v>53</v>
      </c>
      <c r="H11" s="11" t="s">
        <v>52</v>
      </c>
      <c r="I11" s="11" t="s">
        <v>54</v>
      </c>
      <c r="J11" s="11" t="s">
        <v>55</v>
      </c>
      <c r="K11" s="11" t="s">
        <v>59</v>
      </c>
      <c r="L11" s="11" t="s">
        <v>128</v>
      </c>
    </row>
    <row r="12" spans="1:12" x14ac:dyDescent="0.3">
      <c r="A12">
        <v>11</v>
      </c>
      <c r="B12" s="1">
        <v>624</v>
      </c>
      <c r="C12" s="1">
        <v>432</v>
      </c>
      <c r="D12" s="1">
        <v>554</v>
      </c>
      <c r="F12" t="s">
        <v>129</v>
      </c>
      <c r="G12">
        <v>10512.848484848393</v>
      </c>
      <c r="H12">
        <v>2</v>
      </c>
      <c r="I12">
        <v>5256.4242424241966</v>
      </c>
      <c r="J12" s="26">
        <v>0.62782951422736499</v>
      </c>
      <c r="K12">
        <v>0.53705500437010456</v>
      </c>
      <c r="L12" s="26">
        <v>3.1428085170760207</v>
      </c>
    </row>
    <row r="13" spans="1:12" x14ac:dyDescent="0.3">
      <c r="A13">
        <v>12</v>
      </c>
      <c r="B13" s="1">
        <v>456</v>
      </c>
      <c r="C13" s="1">
        <v>621</v>
      </c>
      <c r="D13" s="1">
        <v>663</v>
      </c>
      <c r="F13" t="s">
        <v>130</v>
      </c>
      <c r="G13">
        <v>527459.63636363635</v>
      </c>
      <c r="H13">
        <v>63</v>
      </c>
      <c r="I13">
        <v>8372.3751803751802</v>
      </c>
    </row>
    <row r="14" spans="1:12" x14ac:dyDescent="0.3">
      <c r="A14">
        <v>13</v>
      </c>
      <c r="B14" s="1">
        <v>601</v>
      </c>
      <c r="C14" s="1">
        <v>512</v>
      </c>
      <c r="D14" s="1">
        <v>711</v>
      </c>
    </row>
    <row r="15" spans="1:12" ht="15" thickBot="1" x14ac:dyDescent="0.35">
      <c r="A15">
        <v>14</v>
      </c>
      <c r="B15" s="1">
        <v>530</v>
      </c>
      <c r="C15" s="1">
        <v>530</v>
      </c>
      <c r="D15" s="1">
        <v>602</v>
      </c>
      <c r="F15" s="10" t="s">
        <v>50</v>
      </c>
      <c r="G15" s="10">
        <v>537972.48484848475</v>
      </c>
      <c r="H15" s="10">
        <v>65</v>
      </c>
      <c r="I15" s="10"/>
      <c r="J15" s="10"/>
      <c r="K15" s="10"/>
      <c r="L15" s="10"/>
    </row>
    <row r="16" spans="1:12" x14ac:dyDescent="0.3">
      <c r="A16">
        <v>15</v>
      </c>
      <c r="B16" s="1">
        <v>598</v>
      </c>
      <c r="C16" s="1">
        <v>677</v>
      </c>
      <c r="D16" s="1">
        <v>403</v>
      </c>
    </row>
    <row r="17" spans="1:4" x14ac:dyDescent="0.3">
      <c r="A17">
        <v>16</v>
      </c>
      <c r="B17" s="1">
        <v>496</v>
      </c>
      <c r="C17" s="1">
        <v>611</v>
      </c>
      <c r="D17" s="1">
        <v>412</v>
      </c>
    </row>
    <row r="18" spans="1:4" x14ac:dyDescent="0.3">
      <c r="A18">
        <v>17</v>
      </c>
      <c r="B18" s="1">
        <v>399</v>
      </c>
      <c r="C18" s="1">
        <v>455</v>
      </c>
      <c r="D18" s="1">
        <v>487</v>
      </c>
    </row>
    <row r="19" spans="1:4" x14ac:dyDescent="0.3">
      <c r="A19">
        <v>18</v>
      </c>
      <c r="B19" s="1">
        <v>501</v>
      </c>
      <c r="C19" s="1">
        <v>511</v>
      </c>
      <c r="D19" s="1">
        <v>524</v>
      </c>
    </row>
    <row r="20" spans="1:4" x14ac:dyDescent="0.3">
      <c r="A20">
        <v>19</v>
      </c>
      <c r="B20" s="1">
        <v>620</v>
      </c>
      <c r="C20" s="1">
        <v>401</v>
      </c>
      <c r="D20" s="1">
        <v>598</v>
      </c>
    </row>
    <row r="21" spans="1:4" x14ac:dyDescent="0.3">
      <c r="A21">
        <v>20</v>
      </c>
      <c r="B21" s="1">
        <v>614</v>
      </c>
      <c r="C21" s="1">
        <v>436</v>
      </c>
      <c r="D21" s="1">
        <v>554</v>
      </c>
    </row>
    <row r="22" spans="1:4" x14ac:dyDescent="0.3">
      <c r="A22">
        <v>21</v>
      </c>
      <c r="B22" s="1">
        <v>691</v>
      </c>
      <c r="C22" s="1">
        <v>563</v>
      </c>
      <c r="D22" s="1">
        <v>663</v>
      </c>
    </row>
    <row r="23" spans="1:4" x14ac:dyDescent="0.3">
      <c r="A23">
        <v>22</v>
      </c>
      <c r="B23" s="1">
        <v>456</v>
      </c>
      <c r="C23" s="1">
        <v>711</v>
      </c>
      <c r="D23" s="1">
        <v>633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78153-E2C2-49FD-BCDF-3407F55A1066}">
  <dimension ref="A1:H7"/>
  <sheetViews>
    <sheetView workbookViewId="0">
      <selection activeCell="E8" sqref="E8"/>
    </sheetView>
  </sheetViews>
  <sheetFormatPr defaultRowHeight="14.4" x14ac:dyDescent="0.3"/>
  <cols>
    <col min="2" max="2" width="15.109375" customWidth="1"/>
    <col min="5" max="5" width="15.109375" customWidth="1"/>
    <col min="6" max="6" width="14.5546875" customWidth="1"/>
    <col min="7" max="7" width="12.88671875" customWidth="1"/>
  </cols>
  <sheetData>
    <row r="1" spans="1:8" x14ac:dyDescent="0.3">
      <c r="A1" s="27" t="s">
        <v>131</v>
      </c>
      <c r="B1" s="27" t="s">
        <v>132</v>
      </c>
      <c r="C1" s="27" t="s">
        <v>108</v>
      </c>
      <c r="E1" s="11"/>
      <c r="F1" s="11" t="s">
        <v>132</v>
      </c>
      <c r="G1" s="11" t="s">
        <v>108</v>
      </c>
    </row>
    <row r="2" spans="1:8" x14ac:dyDescent="0.3">
      <c r="A2" s="1" t="s">
        <v>133</v>
      </c>
      <c r="B2" s="1">
        <v>189</v>
      </c>
      <c r="C2" s="1">
        <v>1254978</v>
      </c>
      <c r="E2" t="s">
        <v>132</v>
      </c>
      <c r="F2">
        <f>VARP(Covariance!$B$2:$B$7)</f>
        <v>18.222222222222221</v>
      </c>
    </row>
    <row r="3" spans="1:8" ht="15" thickBot="1" x14ac:dyDescent="0.35">
      <c r="A3" s="1" t="s">
        <v>134</v>
      </c>
      <c r="B3" s="1">
        <v>187</v>
      </c>
      <c r="C3" s="1">
        <v>1154632</v>
      </c>
      <c r="E3" s="10" t="s">
        <v>108</v>
      </c>
      <c r="F3" s="28">
        <v>-42956.888888888905</v>
      </c>
      <c r="G3" s="10">
        <f>VARP(Covariance!$C$2:$C$7)</f>
        <v>7814722226.4722214</v>
      </c>
    </row>
    <row r="4" spans="1:8" x14ac:dyDescent="0.3">
      <c r="A4" s="1" t="s">
        <v>8</v>
      </c>
      <c r="B4" s="1">
        <v>190</v>
      </c>
      <c r="C4" s="1">
        <v>1023654</v>
      </c>
    </row>
    <row r="5" spans="1:8" x14ac:dyDescent="0.3">
      <c r="A5" s="1" t="s">
        <v>135</v>
      </c>
      <c r="B5" s="1">
        <v>195</v>
      </c>
      <c r="C5" s="1">
        <v>1254201</v>
      </c>
    </row>
    <row r="6" spans="1:8" x14ac:dyDescent="0.3">
      <c r="A6" s="1" t="s">
        <v>136</v>
      </c>
      <c r="B6" s="1">
        <v>199</v>
      </c>
      <c r="C6" s="1">
        <v>1132011</v>
      </c>
      <c r="E6" s="45" t="s">
        <v>175</v>
      </c>
      <c r="F6" s="45"/>
      <c r="G6" s="45"/>
      <c r="H6" s="45"/>
    </row>
    <row r="7" spans="1:8" x14ac:dyDescent="0.3">
      <c r="A7" s="1" t="s">
        <v>137</v>
      </c>
      <c r="B7" s="1">
        <v>188</v>
      </c>
      <c r="C7" s="1">
        <v>1271601</v>
      </c>
      <c r="E7" s="45"/>
      <c r="F7" s="45"/>
      <c r="G7" s="45"/>
      <c r="H7" s="45"/>
    </row>
  </sheetData>
  <mergeCells count="1">
    <mergeCell ref="E6:H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A30A4-3FE3-4C23-8DC5-8D57AEC138D7}">
  <dimension ref="A1:N22"/>
  <sheetViews>
    <sheetView tabSelected="1" workbookViewId="0">
      <selection activeCell="J19" sqref="J19"/>
    </sheetView>
  </sheetViews>
  <sheetFormatPr defaultRowHeight="14.4" x14ac:dyDescent="0.3"/>
  <cols>
    <col min="1" max="1" width="11.21875" customWidth="1"/>
    <col min="2" max="2" width="10.88671875" customWidth="1"/>
    <col min="3" max="3" width="10.109375" customWidth="1"/>
    <col min="4" max="4" width="10.44140625" customWidth="1"/>
    <col min="6" max="6" width="17" customWidth="1"/>
    <col min="7" max="7" width="13.6640625" customWidth="1"/>
    <col min="8" max="8" width="12.44140625" customWidth="1"/>
    <col min="11" max="11" width="11.33203125" customWidth="1"/>
    <col min="12" max="12" width="11.21875" customWidth="1"/>
    <col min="13" max="13" width="11.88671875" customWidth="1"/>
    <col min="14" max="14" width="11.21875" customWidth="1"/>
  </cols>
  <sheetData>
    <row r="1" spans="1:14" ht="27" customHeight="1" x14ac:dyDescent="0.3">
      <c r="A1" s="29" t="s">
        <v>138</v>
      </c>
      <c r="B1" s="29" t="s">
        <v>139</v>
      </c>
      <c r="C1" s="29" t="s">
        <v>162</v>
      </c>
      <c r="D1" s="29" t="s">
        <v>140</v>
      </c>
      <c r="F1" s="24" t="s">
        <v>40</v>
      </c>
    </row>
    <row r="2" spans="1:14" ht="15" thickBot="1" x14ac:dyDescent="0.35">
      <c r="A2" t="s">
        <v>141</v>
      </c>
      <c r="B2">
        <v>14</v>
      </c>
      <c r="C2" s="30">
        <v>5600</v>
      </c>
      <c r="D2" s="30">
        <v>3500</v>
      </c>
    </row>
    <row r="3" spans="1:14" x14ac:dyDescent="0.3">
      <c r="A3" t="s">
        <v>142</v>
      </c>
      <c r="B3">
        <v>12</v>
      </c>
      <c r="C3" s="30">
        <v>4100</v>
      </c>
      <c r="D3" s="30">
        <v>1200</v>
      </c>
      <c r="F3" s="12" t="s">
        <v>41</v>
      </c>
      <c r="G3" s="12"/>
    </row>
    <row r="4" spans="1:14" x14ac:dyDescent="0.3">
      <c r="A4" t="s">
        <v>143</v>
      </c>
      <c r="B4">
        <v>9</v>
      </c>
      <c r="C4" s="30">
        <v>2100</v>
      </c>
      <c r="D4" s="30">
        <v>650</v>
      </c>
      <c r="F4" t="s">
        <v>42</v>
      </c>
      <c r="G4">
        <v>0.39789527202939606</v>
      </c>
      <c r="H4" s="31" t="s">
        <v>163</v>
      </c>
      <c r="I4" s="31"/>
      <c r="J4" s="31"/>
      <c r="K4" s="31"/>
      <c r="L4" s="31"/>
    </row>
    <row r="5" spans="1:14" x14ac:dyDescent="0.3">
      <c r="A5" t="s">
        <v>144</v>
      </c>
      <c r="B5">
        <v>7</v>
      </c>
      <c r="C5" s="30">
        <v>3300</v>
      </c>
      <c r="D5" s="30">
        <v>410</v>
      </c>
      <c r="F5" t="s">
        <v>43</v>
      </c>
      <c r="G5">
        <v>0.1583206475033471</v>
      </c>
      <c r="H5" s="32" t="s">
        <v>164</v>
      </c>
      <c r="I5" s="32"/>
    </row>
    <row r="6" spans="1:14" x14ac:dyDescent="0.3">
      <c r="A6" t="s">
        <v>145</v>
      </c>
      <c r="B6">
        <v>2</v>
      </c>
      <c r="C6" s="30">
        <v>4500</v>
      </c>
      <c r="D6" s="30">
        <v>840</v>
      </c>
      <c r="F6" t="s">
        <v>44</v>
      </c>
      <c r="G6">
        <v>6.480071944816343E-2</v>
      </c>
      <c r="H6" s="31" t="s">
        <v>165</v>
      </c>
      <c r="I6" s="31"/>
      <c r="J6" s="31"/>
      <c r="K6" s="31"/>
      <c r="L6" s="31"/>
      <c r="M6" s="31"/>
    </row>
    <row r="7" spans="1:14" x14ac:dyDescent="0.3">
      <c r="A7" t="s">
        <v>146</v>
      </c>
      <c r="B7">
        <v>6</v>
      </c>
      <c r="C7" s="30">
        <v>5600</v>
      </c>
      <c r="D7" s="30">
        <v>760</v>
      </c>
      <c r="F7" t="s">
        <v>45</v>
      </c>
      <c r="G7">
        <v>4.4245721005409226</v>
      </c>
      <c r="H7" s="31" t="s">
        <v>166</v>
      </c>
      <c r="I7" s="31"/>
      <c r="J7" s="31"/>
    </row>
    <row r="8" spans="1:14" ht="15" thickBot="1" x14ac:dyDescent="0.35">
      <c r="A8" t="s">
        <v>147</v>
      </c>
      <c r="B8">
        <v>4</v>
      </c>
      <c r="C8" s="30">
        <v>5000</v>
      </c>
      <c r="D8" s="30">
        <v>1250</v>
      </c>
      <c r="F8" s="10" t="s">
        <v>46</v>
      </c>
      <c r="G8" s="10">
        <v>21</v>
      </c>
    </row>
    <row r="9" spans="1:14" x14ac:dyDescent="0.3">
      <c r="A9" t="s">
        <v>148</v>
      </c>
      <c r="B9">
        <v>12</v>
      </c>
      <c r="C9" s="30">
        <v>4100</v>
      </c>
      <c r="D9" s="30">
        <v>3640</v>
      </c>
    </row>
    <row r="10" spans="1:14" ht="15" thickBot="1" x14ac:dyDescent="0.35">
      <c r="A10" t="s">
        <v>149</v>
      </c>
      <c r="B10">
        <v>10</v>
      </c>
      <c r="C10" s="30">
        <v>3200</v>
      </c>
      <c r="D10" s="30">
        <v>2580</v>
      </c>
      <c r="F10" t="s">
        <v>47</v>
      </c>
    </row>
    <row r="11" spans="1:14" x14ac:dyDescent="0.3">
      <c r="A11" t="s">
        <v>150</v>
      </c>
      <c r="B11">
        <v>5</v>
      </c>
      <c r="C11" s="30">
        <v>1200</v>
      </c>
      <c r="D11" s="30">
        <v>1450</v>
      </c>
      <c r="F11" s="11"/>
      <c r="G11" s="11" t="s">
        <v>52</v>
      </c>
      <c r="H11" s="11" t="s">
        <v>53</v>
      </c>
      <c r="I11" s="11" t="s">
        <v>54</v>
      </c>
      <c r="J11" s="11" t="s">
        <v>55</v>
      </c>
      <c r="K11" s="11" t="s">
        <v>56</v>
      </c>
    </row>
    <row r="12" spans="1:14" x14ac:dyDescent="0.3">
      <c r="A12" t="s">
        <v>151</v>
      </c>
      <c r="B12">
        <v>1</v>
      </c>
      <c r="C12" s="30">
        <v>4100</v>
      </c>
      <c r="D12" s="30">
        <v>3652</v>
      </c>
      <c r="F12" t="s">
        <v>48</v>
      </c>
      <c r="G12">
        <v>2</v>
      </c>
      <c r="H12">
        <v>66.283577754734665</v>
      </c>
      <c r="I12">
        <v>33.141788877367333</v>
      </c>
      <c r="J12">
        <v>1.6929081404973521</v>
      </c>
      <c r="K12">
        <v>0.21199228763965497</v>
      </c>
    </row>
    <row r="13" spans="1:14" x14ac:dyDescent="0.3">
      <c r="A13" t="s">
        <v>152</v>
      </c>
      <c r="B13">
        <v>2</v>
      </c>
      <c r="C13" s="30">
        <v>4900</v>
      </c>
      <c r="D13" s="30">
        <v>1522</v>
      </c>
      <c r="F13" t="s">
        <v>49</v>
      </c>
      <c r="G13">
        <v>18</v>
      </c>
      <c r="H13">
        <v>352.38308891193208</v>
      </c>
      <c r="I13">
        <v>19.576838272885116</v>
      </c>
    </row>
    <row r="14" spans="1:14" ht="15" thickBot="1" x14ac:dyDescent="0.35">
      <c r="A14" t="s">
        <v>153</v>
      </c>
      <c r="B14">
        <v>11</v>
      </c>
      <c r="C14" s="30">
        <v>3500</v>
      </c>
      <c r="D14" s="30">
        <v>3300</v>
      </c>
      <c r="F14" s="10" t="s">
        <v>50</v>
      </c>
      <c r="G14" s="10">
        <v>20</v>
      </c>
      <c r="H14" s="10">
        <v>418.66666666666674</v>
      </c>
      <c r="I14" s="10"/>
      <c r="J14" s="10"/>
      <c r="K14" s="10"/>
    </row>
    <row r="15" spans="1:14" ht="15" thickBot="1" x14ac:dyDescent="0.35">
      <c r="A15" t="s">
        <v>154</v>
      </c>
      <c r="B15">
        <v>15</v>
      </c>
      <c r="C15" s="30">
        <v>2900</v>
      </c>
      <c r="D15" s="30">
        <v>2650</v>
      </c>
    </row>
    <row r="16" spans="1:14" x14ac:dyDescent="0.3">
      <c r="A16" t="s">
        <v>155</v>
      </c>
      <c r="B16">
        <v>13</v>
      </c>
      <c r="C16" s="30">
        <v>1800</v>
      </c>
      <c r="D16" s="30">
        <v>2258</v>
      </c>
      <c r="F16" s="11"/>
      <c r="G16" s="11" t="s">
        <v>57</v>
      </c>
      <c r="H16" s="11" t="s">
        <v>45</v>
      </c>
      <c r="I16" s="11" t="s">
        <v>58</v>
      </c>
      <c r="J16" s="11" t="s">
        <v>59</v>
      </c>
      <c r="K16" s="11" t="s">
        <v>60</v>
      </c>
      <c r="L16" s="11" t="s">
        <v>61</v>
      </c>
      <c r="M16" s="11" t="s">
        <v>62</v>
      </c>
      <c r="N16" s="11" t="s">
        <v>63</v>
      </c>
    </row>
    <row r="17" spans="1:14" x14ac:dyDescent="0.3">
      <c r="A17" t="s">
        <v>156</v>
      </c>
      <c r="B17">
        <v>7</v>
      </c>
      <c r="C17" s="30">
        <v>1200</v>
      </c>
      <c r="D17" s="30">
        <v>1563</v>
      </c>
      <c r="F17" t="s">
        <v>51</v>
      </c>
      <c r="G17">
        <v>7.4648435455263407</v>
      </c>
      <c r="H17">
        <v>3.2527401097122532</v>
      </c>
      <c r="I17">
        <v>2.294940048618487</v>
      </c>
      <c r="J17">
        <v>3.397416346497719E-2</v>
      </c>
      <c r="K17">
        <v>0.63109015785581679</v>
      </c>
      <c r="L17">
        <v>14.298596933196865</v>
      </c>
      <c r="M17">
        <v>0.63109015785581679</v>
      </c>
      <c r="N17">
        <v>14.298596933196865</v>
      </c>
    </row>
    <row r="18" spans="1:14" x14ac:dyDescent="0.3">
      <c r="A18" t="s">
        <v>157</v>
      </c>
      <c r="B18">
        <v>3</v>
      </c>
      <c r="C18" s="30">
        <v>4600</v>
      </c>
      <c r="D18" s="30">
        <v>1010</v>
      </c>
      <c r="F18" t="s">
        <v>162</v>
      </c>
      <c r="G18">
        <v>-5.9765066127526602E-4</v>
      </c>
      <c r="H18">
        <v>7.3500223941131576E-4</v>
      </c>
      <c r="I18">
        <v>-0.81312767394279162</v>
      </c>
      <c r="J18">
        <v>0.4267699722524313</v>
      </c>
      <c r="K18">
        <v>-2.1418330656810193E-3</v>
      </c>
      <c r="L18">
        <v>9.4653174313048729E-4</v>
      </c>
      <c r="M18">
        <v>-2.1418330656810193E-3</v>
      </c>
      <c r="N18">
        <v>9.4653174313048729E-4</v>
      </c>
    </row>
    <row r="19" spans="1:14" ht="15" thickBot="1" x14ac:dyDescent="0.35">
      <c r="A19" t="s">
        <v>158</v>
      </c>
      <c r="B19">
        <v>2</v>
      </c>
      <c r="C19" s="30">
        <v>3900</v>
      </c>
      <c r="D19" s="30">
        <v>880</v>
      </c>
      <c r="F19" s="10" t="s">
        <v>140</v>
      </c>
      <c r="G19" s="10">
        <v>1.4591260127571962E-3</v>
      </c>
      <c r="H19" s="10">
        <v>8.8373021202830409E-4</v>
      </c>
      <c r="I19" s="10">
        <v>1.6510989359617632</v>
      </c>
      <c r="J19" s="10">
        <v>0.11605703830782066</v>
      </c>
      <c r="K19" s="10">
        <v>-3.9752226731995348E-4</v>
      </c>
      <c r="L19" s="10">
        <v>3.3157742928343458E-3</v>
      </c>
      <c r="M19" s="10">
        <v>-3.9752226731995348E-4</v>
      </c>
      <c r="N19" s="10">
        <v>3.3157742928343458E-3</v>
      </c>
    </row>
    <row r="20" spans="1:14" x14ac:dyDescent="0.3">
      <c r="A20" t="s">
        <v>159</v>
      </c>
      <c r="B20">
        <v>8</v>
      </c>
      <c r="C20" s="30">
        <v>2700</v>
      </c>
      <c r="D20" s="30">
        <v>450</v>
      </c>
    </row>
    <row r="21" spans="1:14" x14ac:dyDescent="0.3">
      <c r="A21" t="s">
        <v>160</v>
      </c>
      <c r="B21">
        <v>4</v>
      </c>
      <c r="C21" s="30">
        <v>5100</v>
      </c>
      <c r="D21" s="30">
        <v>630</v>
      </c>
    </row>
    <row r="22" spans="1:14" x14ac:dyDescent="0.3">
      <c r="A22" t="s">
        <v>161</v>
      </c>
      <c r="B22">
        <v>14</v>
      </c>
      <c r="C22" s="30">
        <v>4800</v>
      </c>
      <c r="D22" s="30">
        <v>740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74C0-C71E-4FD5-8D52-34C02ABC0C43}">
  <dimension ref="A1:O16"/>
  <sheetViews>
    <sheetView workbookViewId="0">
      <selection activeCell="K8" sqref="K8"/>
    </sheetView>
  </sheetViews>
  <sheetFormatPr defaultRowHeight="14.4" x14ac:dyDescent="0.3"/>
  <cols>
    <col min="2" max="2" width="15.33203125" customWidth="1"/>
    <col min="5" max="5" width="14.6640625" customWidth="1"/>
    <col min="6" max="6" width="15.33203125" customWidth="1"/>
    <col min="10" max="10" width="16.21875" customWidth="1"/>
    <col min="13" max="13" width="11.88671875" customWidth="1"/>
    <col min="14" max="14" width="13.88671875" customWidth="1"/>
  </cols>
  <sheetData>
    <row r="1" spans="1:15" x14ac:dyDescent="0.3">
      <c r="A1" s="27" t="s">
        <v>131</v>
      </c>
      <c r="B1" s="27" t="s">
        <v>132</v>
      </c>
      <c r="C1" s="27" t="s">
        <v>108</v>
      </c>
      <c r="E1" s="11"/>
      <c r="F1" s="11" t="s">
        <v>132</v>
      </c>
      <c r="G1" s="11" t="s">
        <v>108</v>
      </c>
      <c r="J1" s="38" t="s">
        <v>167</v>
      </c>
      <c r="K1" s="38"/>
      <c r="L1" s="38"/>
      <c r="M1" s="38"/>
    </row>
    <row r="2" spans="1:15" x14ac:dyDescent="0.3">
      <c r="A2" s="1" t="s">
        <v>133</v>
      </c>
      <c r="B2" s="1">
        <v>189</v>
      </c>
      <c r="C2" s="1">
        <v>1254978</v>
      </c>
      <c r="E2" t="s">
        <v>132</v>
      </c>
      <c r="F2">
        <v>1</v>
      </c>
      <c r="J2" s="38"/>
      <c r="K2" s="38"/>
      <c r="L2" s="38"/>
      <c r="M2" s="38"/>
    </row>
    <row r="3" spans="1:15" ht="15" thickBot="1" x14ac:dyDescent="0.35">
      <c r="A3" s="1" t="s">
        <v>134</v>
      </c>
      <c r="B3" s="1">
        <v>187</v>
      </c>
      <c r="C3" s="1">
        <v>1154632</v>
      </c>
      <c r="E3" s="10" t="s">
        <v>108</v>
      </c>
      <c r="F3" s="28">
        <v>-0.11383488635991426</v>
      </c>
      <c r="G3" s="10">
        <v>1</v>
      </c>
      <c r="J3" s="45" t="s">
        <v>176</v>
      </c>
      <c r="K3" s="45"/>
      <c r="L3" s="45"/>
      <c r="M3" s="45"/>
    </row>
    <row r="4" spans="1:15" x14ac:dyDescent="0.3">
      <c r="A4" s="1" t="s">
        <v>8</v>
      </c>
      <c r="B4" s="1">
        <v>190</v>
      </c>
      <c r="C4" s="1">
        <v>1023654</v>
      </c>
      <c r="J4" s="45"/>
      <c r="K4" s="45"/>
      <c r="L4" s="45"/>
      <c r="M4" s="45"/>
    </row>
    <row r="5" spans="1:15" x14ac:dyDescent="0.3">
      <c r="A5" s="1" t="s">
        <v>135</v>
      </c>
      <c r="B5" s="1">
        <v>195</v>
      </c>
      <c r="C5" s="1">
        <v>1254201</v>
      </c>
    </row>
    <row r="6" spans="1:15" x14ac:dyDescent="0.3">
      <c r="A6" s="1" t="s">
        <v>136</v>
      </c>
      <c r="B6" s="1">
        <v>199</v>
      </c>
      <c r="C6" s="1">
        <v>1132011</v>
      </c>
    </row>
    <row r="7" spans="1:15" ht="15" thickBot="1" x14ac:dyDescent="0.35">
      <c r="A7" s="1" t="s">
        <v>137</v>
      </c>
      <c r="B7" s="1">
        <v>188</v>
      </c>
      <c r="C7" s="1">
        <v>1271601</v>
      </c>
    </row>
    <row r="8" spans="1:15" ht="26.4" customHeight="1" x14ac:dyDescent="0.3">
      <c r="J8" s="29" t="s">
        <v>168</v>
      </c>
      <c r="K8" s="14" t="s">
        <v>169</v>
      </c>
      <c r="M8" s="41"/>
      <c r="N8" s="41" t="s">
        <v>168</v>
      </c>
      <c r="O8" s="41" t="s">
        <v>169</v>
      </c>
    </row>
    <row r="9" spans="1:15" x14ac:dyDescent="0.3">
      <c r="J9" s="1">
        <v>27.2</v>
      </c>
      <c r="K9" s="1">
        <v>5</v>
      </c>
      <c r="M9" s="39" t="s">
        <v>168</v>
      </c>
      <c r="N9" s="39">
        <v>1</v>
      </c>
      <c r="O9" s="39"/>
    </row>
    <row r="10" spans="1:15" ht="15" thickBot="1" x14ac:dyDescent="0.35">
      <c r="J10" s="1">
        <v>25.3</v>
      </c>
      <c r="K10" s="1">
        <v>4</v>
      </c>
      <c r="M10" s="40" t="s">
        <v>169</v>
      </c>
      <c r="N10" s="40">
        <v>0.99027242222225687</v>
      </c>
      <c r="O10" s="40">
        <v>1</v>
      </c>
    </row>
    <row r="11" spans="1:15" x14ac:dyDescent="0.3">
      <c r="J11" s="1">
        <v>29.1</v>
      </c>
      <c r="K11" s="1">
        <v>6</v>
      </c>
    </row>
    <row r="12" spans="1:15" x14ac:dyDescent="0.3">
      <c r="J12" s="1">
        <v>23.1</v>
      </c>
      <c r="K12" s="1">
        <v>3</v>
      </c>
    </row>
    <row r="13" spans="1:15" x14ac:dyDescent="0.3">
      <c r="J13" s="1">
        <v>22.5</v>
      </c>
      <c r="K13" s="1">
        <v>2</v>
      </c>
    </row>
    <row r="14" spans="1:15" x14ac:dyDescent="0.3">
      <c r="J14" s="1">
        <v>28.9</v>
      </c>
      <c r="K14" s="1">
        <v>7</v>
      </c>
    </row>
    <row r="15" spans="1:15" x14ac:dyDescent="0.3">
      <c r="J15" s="1">
        <v>32.700000000000003</v>
      </c>
      <c r="K15" s="1">
        <v>10</v>
      </c>
    </row>
    <row r="16" spans="1:15" x14ac:dyDescent="0.3">
      <c r="J16" s="1">
        <v>35.9</v>
      </c>
      <c r="K16" s="1">
        <v>12</v>
      </c>
    </row>
  </sheetData>
  <mergeCells count="2">
    <mergeCell ref="J1:M2"/>
    <mergeCell ref="J3:M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2433A-FAC0-44AE-A9FC-5BAD75BE3FDD}">
  <dimension ref="A1:J16"/>
  <sheetViews>
    <sheetView workbookViewId="0">
      <selection activeCell="J22" sqref="J22"/>
    </sheetView>
  </sheetViews>
  <sheetFormatPr defaultRowHeight="14.4" x14ac:dyDescent="0.3"/>
  <cols>
    <col min="2" max="2" width="10.33203125" bestFit="1" customWidth="1"/>
    <col min="3" max="3" width="11.44140625" customWidth="1"/>
    <col min="4" max="4" width="14.44140625" customWidth="1"/>
    <col min="5" max="5" width="13.6640625" customWidth="1"/>
    <col min="8" max="9" width="9" customWidth="1"/>
    <col min="10" max="10" width="11.5546875" customWidth="1"/>
  </cols>
  <sheetData>
    <row r="1" spans="1:10" ht="27" customHeight="1" x14ac:dyDescent="0.3">
      <c r="A1" s="14" t="s">
        <v>78</v>
      </c>
      <c r="B1" s="14" t="s">
        <v>2</v>
      </c>
      <c r="C1" s="14" t="s">
        <v>79</v>
      </c>
      <c r="D1" s="14" t="s">
        <v>80</v>
      </c>
      <c r="E1" s="14" t="s">
        <v>81</v>
      </c>
      <c r="H1" s="16" t="s">
        <v>24</v>
      </c>
      <c r="I1" s="17" t="s">
        <v>25</v>
      </c>
    </row>
    <row r="2" spans="1:10" x14ac:dyDescent="0.3">
      <c r="A2" s="1">
        <v>154687</v>
      </c>
      <c r="B2" s="15">
        <v>45658</v>
      </c>
      <c r="C2" s="1" t="s">
        <v>82</v>
      </c>
      <c r="D2" s="1">
        <v>33</v>
      </c>
      <c r="E2" s="1" t="s">
        <v>92</v>
      </c>
      <c r="H2" t="s">
        <v>104</v>
      </c>
      <c r="I2">
        <v>22</v>
      </c>
    </row>
    <row r="3" spans="1:10" x14ac:dyDescent="0.3">
      <c r="A3" s="1">
        <v>125405</v>
      </c>
      <c r="B3" s="15">
        <v>45659</v>
      </c>
      <c r="C3" s="1" t="s">
        <v>83</v>
      </c>
      <c r="D3" s="1">
        <v>18</v>
      </c>
      <c r="E3" s="1" t="s">
        <v>93</v>
      </c>
      <c r="H3" t="s">
        <v>105</v>
      </c>
      <c r="I3">
        <v>26</v>
      </c>
    </row>
    <row r="4" spans="1:10" x14ac:dyDescent="0.3">
      <c r="A4" s="1">
        <v>125401</v>
      </c>
      <c r="B4" s="15">
        <v>45660</v>
      </c>
      <c r="C4" s="1" t="s">
        <v>84</v>
      </c>
      <c r="D4" s="1">
        <v>26</v>
      </c>
      <c r="E4" s="1" t="s">
        <v>94</v>
      </c>
      <c r="H4" t="s">
        <v>106</v>
      </c>
      <c r="I4">
        <v>30</v>
      </c>
    </row>
    <row r="5" spans="1:10" x14ac:dyDescent="0.3">
      <c r="A5" s="1">
        <v>132587</v>
      </c>
      <c r="B5" s="15">
        <v>45661</v>
      </c>
      <c r="C5" s="1" t="s">
        <v>85</v>
      </c>
      <c r="D5" s="1">
        <v>28</v>
      </c>
      <c r="E5" s="1" t="s">
        <v>95</v>
      </c>
      <c r="H5" t="s">
        <v>102</v>
      </c>
      <c r="I5">
        <v>35</v>
      </c>
    </row>
    <row r="6" spans="1:10" x14ac:dyDescent="0.3">
      <c r="A6" s="1">
        <v>145879</v>
      </c>
      <c r="B6" s="15">
        <v>45662</v>
      </c>
      <c r="C6" s="1" t="s">
        <v>86</v>
      </c>
      <c r="D6" s="1">
        <v>35</v>
      </c>
      <c r="E6" s="1" t="s">
        <v>96</v>
      </c>
    </row>
    <row r="7" spans="1:10" x14ac:dyDescent="0.3">
      <c r="A7" s="1">
        <v>135980</v>
      </c>
      <c r="B7" s="15">
        <v>45663</v>
      </c>
      <c r="C7" s="1" t="s">
        <v>87</v>
      </c>
      <c r="D7" s="1">
        <v>34</v>
      </c>
      <c r="E7" s="1" t="s">
        <v>97</v>
      </c>
    </row>
    <row r="8" spans="1:10" x14ac:dyDescent="0.3">
      <c r="A8" s="1">
        <v>154782</v>
      </c>
      <c r="B8" s="15">
        <v>45664</v>
      </c>
      <c r="C8" s="1" t="s">
        <v>88</v>
      </c>
      <c r="D8" s="1">
        <v>29</v>
      </c>
      <c r="E8" s="1" t="s">
        <v>98</v>
      </c>
    </row>
    <row r="9" spans="1:10" x14ac:dyDescent="0.3">
      <c r="A9" s="1">
        <v>135901</v>
      </c>
      <c r="B9" s="15">
        <v>45665</v>
      </c>
      <c r="C9" s="1" t="s">
        <v>89</v>
      </c>
      <c r="D9" s="1">
        <v>21</v>
      </c>
      <c r="E9" s="1" t="s">
        <v>99</v>
      </c>
    </row>
    <row r="10" spans="1:10" x14ac:dyDescent="0.3">
      <c r="A10" s="1">
        <v>145014</v>
      </c>
      <c r="B10" s="15">
        <v>45666</v>
      </c>
      <c r="C10" s="1" t="s">
        <v>90</v>
      </c>
      <c r="D10" s="1">
        <v>33</v>
      </c>
      <c r="E10" s="1" t="s">
        <v>100</v>
      </c>
    </row>
    <row r="11" spans="1:10" ht="15" thickBot="1" x14ac:dyDescent="0.35">
      <c r="A11" s="1">
        <v>165784</v>
      </c>
      <c r="B11" s="15">
        <v>45667</v>
      </c>
      <c r="C11" s="1" t="s">
        <v>91</v>
      </c>
      <c r="D11" s="1">
        <v>20</v>
      </c>
      <c r="E11" s="1" t="s">
        <v>101</v>
      </c>
    </row>
    <row r="12" spans="1:10" x14ac:dyDescent="0.3">
      <c r="H12" s="11" t="s">
        <v>103</v>
      </c>
      <c r="I12" s="11" t="s">
        <v>28</v>
      </c>
      <c r="J12" s="11" t="s">
        <v>29</v>
      </c>
    </row>
    <row r="13" spans="1:10" x14ac:dyDescent="0.3">
      <c r="H13">
        <v>26</v>
      </c>
      <c r="I13">
        <v>4</v>
      </c>
      <c r="J13" s="18">
        <v>0.44444444444444442</v>
      </c>
    </row>
    <row r="14" spans="1:10" x14ac:dyDescent="0.3">
      <c r="H14">
        <v>30</v>
      </c>
      <c r="I14">
        <v>2</v>
      </c>
      <c r="J14" s="18">
        <v>0.66666666666666663</v>
      </c>
    </row>
    <row r="15" spans="1:10" x14ac:dyDescent="0.3">
      <c r="H15">
        <v>35</v>
      </c>
      <c r="I15">
        <v>3</v>
      </c>
      <c r="J15" s="18">
        <v>1</v>
      </c>
    </row>
    <row r="16" spans="1:10" ht="15" thickBot="1" x14ac:dyDescent="0.35">
      <c r="H16" s="10" t="s">
        <v>27</v>
      </c>
      <c r="I16" s="10">
        <v>0</v>
      </c>
      <c r="J16" s="19">
        <v>1</v>
      </c>
    </row>
  </sheetData>
  <phoneticPr fontId="6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815A7-6C44-4F5B-A3D6-69BDF32A0460}">
  <dimension ref="A1:N40"/>
  <sheetViews>
    <sheetView topLeftCell="A18" workbookViewId="0">
      <selection activeCell="G18" sqref="G18"/>
    </sheetView>
  </sheetViews>
  <sheetFormatPr defaultRowHeight="14.4" x14ac:dyDescent="0.3"/>
  <cols>
    <col min="1" max="1" width="12.21875" customWidth="1"/>
    <col min="2" max="2" width="10.44140625" customWidth="1"/>
    <col min="5" max="5" width="27.109375" customWidth="1"/>
    <col min="6" max="6" width="20.109375" customWidth="1"/>
    <col min="7" max="7" width="18.44140625" customWidth="1"/>
  </cols>
  <sheetData>
    <row r="1" spans="1:14" x14ac:dyDescent="0.3">
      <c r="A1" s="22" t="s">
        <v>46</v>
      </c>
      <c r="B1" s="22" t="s">
        <v>110</v>
      </c>
      <c r="C1" s="22" t="s">
        <v>111</v>
      </c>
      <c r="E1" s="23" t="s">
        <v>112</v>
      </c>
      <c r="F1" s="23"/>
      <c r="G1" s="23"/>
      <c r="H1" s="23"/>
    </row>
    <row r="2" spans="1:14" ht="15" thickBot="1" x14ac:dyDescent="0.35">
      <c r="A2" s="1">
        <v>1</v>
      </c>
      <c r="B2" s="1">
        <v>456</v>
      </c>
      <c r="C2" s="1">
        <v>666</v>
      </c>
      <c r="J2" s="36" t="s">
        <v>119</v>
      </c>
      <c r="K2" s="36"/>
      <c r="L2" s="36"/>
      <c r="M2" s="36"/>
      <c r="N2" s="36"/>
    </row>
    <row r="3" spans="1:14" x14ac:dyDescent="0.3">
      <c r="A3" s="1">
        <v>2</v>
      </c>
      <c r="B3" s="1">
        <v>465</v>
      </c>
      <c r="C3" s="1">
        <v>456</v>
      </c>
      <c r="E3" s="11"/>
      <c r="F3" s="11" t="s">
        <v>110</v>
      </c>
      <c r="G3" s="11" t="s">
        <v>111</v>
      </c>
      <c r="J3" s="36"/>
      <c r="K3" s="36"/>
      <c r="L3" s="36"/>
      <c r="M3" s="36"/>
      <c r="N3" s="36"/>
    </row>
    <row r="4" spans="1:14" x14ac:dyDescent="0.3">
      <c r="A4" s="1">
        <v>3</v>
      </c>
      <c r="B4" s="1">
        <v>425</v>
      </c>
      <c r="C4" s="1">
        <v>478</v>
      </c>
      <c r="E4" t="s">
        <v>64</v>
      </c>
      <c r="F4">
        <v>528.81818181818187</v>
      </c>
      <c r="G4">
        <v>537</v>
      </c>
      <c r="J4" s="36"/>
      <c r="K4" s="36"/>
      <c r="L4" s="36"/>
      <c r="M4" s="36"/>
      <c r="N4" s="36"/>
    </row>
    <row r="5" spans="1:14" x14ac:dyDescent="0.3">
      <c r="A5" s="1">
        <v>4</v>
      </c>
      <c r="B5" s="1">
        <v>415</v>
      </c>
      <c r="C5" s="1">
        <v>556</v>
      </c>
      <c r="E5" t="s">
        <v>113</v>
      </c>
      <c r="F5">
        <v>6729.5844155844034</v>
      </c>
      <c r="G5">
        <v>9949.6190476190477</v>
      </c>
      <c r="J5" s="36"/>
      <c r="K5" s="36"/>
      <c r="L5" s="36"/>
      <c r="M5" s="36"/>
      <c r="N5" s="36"/>
    </row>
    <row r="6" spans="1:14" x14ac:dyDescent="0.3">
      <c r="A6" s="1">
        <v>5</v>
      </c>
      <c r="B6" s="1">
        <v>478</v>
      </c>
      <c r="C6" s="1">
        <v>410</v>
      </c>
      <c r="E6" t="s">
        <v>46</v>
      </c>
      <c r="F6">
        <v>22</v>
      </c>
      <c r="G6">
        <v>22</v>
      </c>
      <c r="J6" s="37" t="s">
        <v>120</v>
      </c>
      <c r="K6" s="37"/>
      <c r="L6" s="37"/>
      <c r="M6" s="37"/>
      <c r="N6" s="37"/>
    </row>
    <row r="7" spans="1:14" x14ac:dyDescent="0.3">
      <c r="A7" s="1">
        <v>6</v>
      </c>
      <c r="B7" s="1">
        <v>496</v>
      </c>
      <c r="C7" s="1">
        <v>521</v>
      </c>
      <c r="E7" t="s">
        <v>114</v>
      </c>
      <c r="F7">
        <v>0</v>
      </c>
      <c r="J7" s="37"/>
      <c r="K7" s="37"/>
      <c r="L7" s="37"/>
      <c r="M7" s="37"/>
      <c r="N7" s="37"/>
    </row>
    <row r="8" spans="1:14" x14ac:dyDescent="0.3">
      <c r="A8" s="1">
        <v>7</v>
      </c>
      <c r="B8" s="1">
        <v>562</v>
      </c>
      <c r="C8" s="1">
        <v>532</v>
      </c>
      <c r="E8" t="s">
        <v>52</v>
      </c>
      <c r="F8">
        <v>40</v>
      </c>
      <c r="J8" s="37"/>
      <c r="K8" s="37"/>
      <c r="L8" s="37"/>
      <c r="M8" s="37"/>
      <c r="N8" s="37"/>
    </row>
    <row r="9" spans="1:14" x14ac:dyDescent="0.3">
      <c r="A9" s="1">
        <v>8</v>
      </c>
      <c r="B9" s="1">
        <v>541</v>
      </c>
      <c r="C9" s="1">
        <v>401</v>
      </c>
      <c r="E9" t="s">
        <v>58</v>
      </c>
      <c r="F9">
        <v>-0.29714847889202367</v>
      </c>
    </row>
    <row r="10" spans="1:14" x14ac:dyDescent="0.3">
      <c r="A10" s="1">
        <v>9</v>
      </c>
      <c r="B10" s="1">
        <v>632</v>
      </c>
      <c r="C10" s="1">
        <v>633</v>
      </c>
      <c r="E10" t="s">
        <v>115</v>
      </c>
      <c r="F10">
        <v>0.38394543026414951</v>
      </c>
    </row>
    <row r="11" spans="1:14" x14ac:dyDescent="0.3">
      <c r="A11" s="1">
        <v>10</v>
      </c>
      <c r="B11" s="1">
        <v>578</v>
      </c>
      <c r="C11" s="1">
        <v>701</v>
      </c>
      <c r="E11" t="s">
        <v>116</v>
      </c>
      <c r="F11">
        <v>1.6838510133356521</v>
      </c>
    </row>
    <row r="12" spans="1:14" x14ac:dyDescent="0.3">
      <c r="A12" s="1">
        <v>11</v>
      </c>
      <c r="B12" s="1">
        <v>624</v>
      </c>
      <c r="C12" s="1">
        <v>432</v>
      </c>
      <c r="E12" t="s">
        <v>117</v>
      </c>
      <c r="F12">
        <v>0.76789086052829902</v>
      </c>
    </row>
    <row r="13" spans="1:14" ht="15" thickBot="1" x14ac:dyDescent="0.35">
      <c r="A13" s="1">
        <v>12</v>
      </c>
      <c r="B13" s="1">
        <v>456</v>
      </c>
      <c r="C13" s="1">
        <v>621</v>
      </c>
      <c r="E13" s="10" t="s">
        <v>118</v>
      </c>
      <c r="F13" s="10">
        <v>2.0210753903062737</v>
      </c>
      <c r="G13" s="10"/>
    </row>
    <row r="14" spans="1:14" x14ac:dyDescent="0.3">
      <c r="A14" s="1">
        <v>13</v>
      </c>
      <c r="B14" s="1">
        <v>601</v>
      </c>
      <c r="C14" s="1">
        <v>512</v>
      </c>
    </row>
    <row r="15" spans="1:14" x14ac:dyDescent="0.3">
      <c r="A15" s="1">
        <v>14</v>
      </c>
      <c r="B15" s="1">
        <v>530</v>
      </c>
      <c r="C15" s="1">
        <v>530</v>
      </c>
    </row>
    <row r="16" spans="1:14" x14ac:dyDescent="0.3">
      <c r="A16" s="1">
        <v>15</v>
      </c>
      <c r="B16" s="1">
        <v>598</v>
      </c>
      <c r="C16" s="1">
        <v>677</v>
      </c>
    </row>
    <row r="17" spans="1:7" x14ac:dyDescent="0.3">
      <c r="A17" s="1">
        <v>16</v>
      </c>
      <c r="B17" s="1">
        <v>496</v>
      </c>
      <c r="C17" s="1">
        <v>611</v>
      </c>
    </row>
    <row r="18" spans="1:7" x14ac:dyDescent="0.3">
      <c r="A18" s="1">
        <v>17</v>
      </c>
      <c r="B18" s="1">
        <v>399</v>
      </c>
      <c r="C18" s="1">
        <v>455</v>
      </c>
    </row>
    <row r="19" spans="1:7" x14ac:dyDescent="0.3">
      <c r="A19" s="1">
        <v>18</v>
      </c>
      <c r="B19" s="1">
        <v>501</v>
      </c>
      <c r="C19" s="1">
        <v>511</v>
      </c>
    </row>
    <row r="20" spans="1:7" x14ac:dyDescent="0.3">
      <c r="A20" s="1">
        <v>19</v>
      </c>
      <c r="B20" s="1">
        <v>620</v>
      </c>
      <c r="C20" s="1">
        <v>401</v>
      </c>
    </row>
    <row r="21" spans="1:7" x14ac:dyDescent="0.3">
      <c r="A21" s="1">
        <v>20</v>
      </c>
      <c r="B21" s="1">
        <v>614</v>
      </c>
      <c r="C21" s="1">
        <v>436</v>
      </c>
    </row>
    <row r="22" spans="1:7" x14ac:dyDescent="0.3">
      <c r="A22" s="1">
        <v>21</v>
      </c>
      <c r="B22" s="1">
        <v>691</v>
      </c>
      <c r="C22" s="1">
        <v>563</v>
      </c>
    </row>
    <row r="23" spans="1:7" x14ac:dyDescent="0.3">
      <c r="A23" s="1">
        <v>22</v>
      </c>
      <c r="B23" s="1">
        <v>456</v>
      </c>
      <c r="C23" s="1">
        <v>711</v>
      </c>
    </row>
    <row r="26" spans="1:7" x14ac:dyDescent="0.3">
      <c r="A26" s="42" t="s">
        <v>170</v>
      </c>
      <c r="B26" s="42"/>
      <c r="C26" s="42"/>
    </row>
    <row r="27" spans="1:7" ht="41.4" customHeight="1" x14ac:dyDescent="0.3">
      <c r="A27" s="43" t="s">
        <v>171</v>
      </c>
      <c r="B27" s="43" t="s">
        <v>172</v>
      </c>
      <c r="E27" s="36" t="s">
        <v>173</v>
      </c>
      <c r="F27" s="36"/>
      <c r="G27" s="36"/>
    </row>
    <row r="28" spans="1:7" ht="15" thickBot="1" x14ac:dyDescent="0.35">
      <c r="A28" s="1">
        <v>72</v>
      </c>
      <c r="B28" s="1">
        <v>75</v>
      </c>
    </row>
    <row r="29" spans="1:7" x14ac:dyDescent="0.3">
      <c r="A29" s="1">
        <v>77</v>
      </c>
      <c r="B29" s="1">
        <v>86</v>
      </c>
      <c r="E29" s="41"/>
      <c r="F29" s="41" t="s">
        <v>171</v>
      </c>
      <c r="G29" s="41" t="s">
        <v>172</v>
      </c>
    </row>
    <row r="30" spans="1:7" x14ac:dyDescent="0.3">
      <c r="A30" s="1">
        <v>81</v>
      </c>
      <c r="B30" s="1">
        <v>88</v>
      </c>
      <c r="E30" s="39" t="s">
        <v>64</v>
      </c>
      <c r="F30" s="39">
        <v>78.166666666666671</v>
      </c>
      <c r="G30" s="39">
        <v>85.333333333333329</v>
      </c>
    </row>
    <row r="31" spans="1:7" x14ac:dyDescent="0.3">
      <c r="A31" s="1">
        <v>85</v>
      </c>
      <c r="B31" s="1">
        <v>89</v>
      </c>
      <c r="E31" s="39" t="s">
        <v>113</v>
      </c>
      <c r="F31" s="39">
        <v>19.766666666666669</v>
      </c>
      <c r="G31" s="39">
        <v>33.066666666666677</v>
      </c>
    </row>
    <row r="32" spans="1:7" x14ac:dyDescent="0.3">
      <c r="A32" s="1">
        <v>78</v>
      </c>
      <c r="B32" s="1">
        <v>91</v>
      </c>
      <c r="E32" s="39" t="s">
        <v>46</v>
      </c>
      <c r="F32" s="39">
        <v>6</v>
      </c>
      <c r="G32" s="39">
        <v>6</v>
      </c>
    </row>
    <row r="33" spans="1:7" x14ac:dyDescent="0.3">
      <c r="A33" s="1">
        <v>76</v>
      </c>
      <c r="B33" s="1">
        <v>83</v>
      </c>
      <c r="E33" s="39" t="s">
        <v>174</v>
      </c>
      <c r="F33" s="39">
        <v>0.77968288536420938</v>
      </c>
      <c r="G33" s="39"/>
    </row>
    <row r="34" spans="1:7" x14ac:dyDescent="0.3">
      <c r="E34" s="39" t="s">
        <v>114</v>
      </c>
      <c r="F34" s="39">
        <v>0</v>
      </c>
      <c r="G34" s="39"/>
    </row>
    <row r="35" spans="1:7" x14ac:dyDescent="0.3">
      <c r="E35" s="39" t="s">
        <v>52</v>
      </c>
      <c r="F35" s="39">
        <v>5</v>
      </c>
      <c r="G35" s="39"/>
    </row>
    <row r="36" spans="1:7" x14ac:dyDescent="0.3">
      <c r="E36" s="39" t="s">
        <v>58</v>
      </c>
      <c r="F36" s="39">
        <v>-4.8750453165120708</v>
      </c>
      <c r="G36" s="39"/>
    </row>
    <row r="37" spans="1:7" x14ac:dyDescent="0.3">
      <c r="E37" s="39" t="s">
        <v>115</v>
      </c>
      <c r="F37" s="44">
        <v>2.286352116463088E-3</v>
      </c>
      <c r="G37" s="39"/>
    </row>
    <row r="38" spans="1:7" x14ac:dyDescent="0.3">
      <c r="E38" s="39" t="s">
        <v>116</v>
      </c>
      <c r="F38" s="39">
        <v>2.0150483733330233</v>
      </c>
      <c r="G38" s="39"/>
    </row>
    <row r="39" spans="1:7" x14ac:dyDescent="0.3">
      <c r="E39" s="39" t="s">
        <v>117</v>
      </c>
      <c r="F39" s="44">
        <v>4.5727042329261761E-3</v>
      </c>
      <c r="G39" s="39"/>
    </row>
    <row r="40" spans="1:7" ht="15" thickBot="1" x14ac:dyDescent="0.35">
      <c r="E40" s="40" t="s">
        <v>118</v>
      </c>
      <c r="F40" s="40">
        <v>2.570581835636315</v>
      </c>
      <c r="G40" s="40"/>
    </row>
  </sheetData>
  <mergeCells count="4">
    <mergeCell ref="J2:N5"/>
    <mergeCell ref="J6:N8"/>
    <mergeCell ref="A26:C26"/>
    <mergeCell ref="E27:G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Histogram</vt:lpstr>
      <vt:lpstr>Moving Average</vt:lpstr>
      <vt:lpstr>What-if Analysis</vt:lpstr>
      <vt:lpstr>Descriptive Statistics</vt:lpstr>
      <vt:lpstr>Annova</vt:lpstr>
      <vt:lpstr>Covariance</vt:lpstr>
      <vt:lpstr>Regression</vt:lpstr>
      <vt:lpstr>Correlation</vt:lpstr>
      <vt:lpstr>Customer Histogram</vt:lpstr>
      <vt:lpstr>Hypothesis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Dishant Sharma</dc:creator>
  <cp:lastModifiedBy>Dishant Sharma</cp:lastModifiedBy>
  <dcterms:created xsi:type="dcterms:W3CDTF">2025-03-11T10:31:07Z</dcterms:created>
  <dcterms:modified xsi:type="dcterms:W3CDTF">2025-03-12T19:38:00Z</dcterms:modified>
</cp:coreProperties>
</file>